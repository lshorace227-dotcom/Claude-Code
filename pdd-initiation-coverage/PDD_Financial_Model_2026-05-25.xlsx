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與假設" sheetId="1" state="visible" r:id="rId1"/>
    <sheet xmlns:r="http://schemas.openxmlformats.org/officeDocument/2006/relationships" name="收入模型" sheetId="2" state="visible" r:id="rId2"/>
    <sheet xmlns:r="http://schemas.openxmlformats.org/officeDocument/2006/relationships" name="損益表" sheetId="3" state="visible" r:id="rId3"/>
    <sheet xmlns:r="http://schemas.openxmlformats.org/officeDocument/2006/relationships" name="現金流量表" sheetId="4" state="visible" r:id="rId4"/>
    <sheet xmlns:r="http://schemas.openxmlformats.org/officeDocument/2006/relationships" name="資產負債表" sheetId="5" state="visible" r:id="rId5"/>
    <sheet xmlns:r="http://schemas.openxmlformats.org/officeDocument/2006/relationships" name="情境分析" sheetId="6" state="visible" r:id="rId6"/>
    <sheet xmlns:r="http://schemas.openxmlformats.org/officeDocument/2006/relationships" name="DCF輸入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(#,##0);&quot;–&quot;"/>
    <numFmt numFmtId="165" formatCode="0.0%;[Red](0.0%);&quot;–&quot;"/>
    <numFmt numFmtId="166" formatCode="&quot;$&quot;0.00"/>
    <numFmt numFmtId="167" formatCode="0.0&quot;x&quot;"/>
  </numFmts>
  <fonts count="9">
    <font>
      <name val="Calibri"/>
      <family val="2"/>
      <color theme="1"/>
      <sz val="11"/>
      <scheme val="minor"/>
    </font>
    <font>
      <name val="Calibri"/>
      <b val="1"/>
      <color rgb="00000000"/>
      <sz val="16"/>
    </font>
    <font>
      <name val="Calibri"/>
      <i val="1"/>
      <sz val="12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70C0"/>
      <sz val="10"/>
    </font>
    <font>
      <name val="Calibri"/>
      <color rgb="00008000"/>
      <sz val="10"/>
    </font>
    <font>
      <name val="Calibr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164" fontId="6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165" fontId="6" fillId="0" borderId="1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pivotButton="0" quotePrefix="0" xfId="0"/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/>
    </xf>
    <xf numFmtId="0" fontId="8" fillId="4" borderId="0" applyAlignment="1" pivotButton="0" quotePrefix="0" xfId="0">
      <alignment horizontal="left"/>
    </xf>
    <xf numFmtId="0" fontId="5" fillId="0" borderId="1" applyAlignment="1" pivotButton="0" quotePrefix="0" xfId="0">
      <alignment horizontal="left" vertical="center" indent="1"/>
    </xf>
    <xf numFmtId="164" fontId="5" fillId="0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vertical="center"/>
    </xf>
    <xf numFmtId="164" fontId="8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indent="1"/>
    </xf>
    <xf numFmtId="165" fontId="5" fillId="0" borderId="1" applyAlignment="1" pivotButton="0" quotePrefix="0" xfId="0">
      <alignment horizontal="right"/>
    </xf>
    <xf numFmtId="0" fontId="8" fillId="4" borderId="0" pivotButton="0" quotePrefix="0" xfId="0"/>
    <xf numFmtId="165" fontId="5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indent="1"/>
    </xf>
    <xf numFmtId="164" fontId="3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 vertical="center"/>
    </xf>
    <xf numFmtId="2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/>
    </xf>
    <xf numFmtId="167" fontId="5" fillId="0" borderId="1" applyAlignment="1" pivotButton="0" quotePrefix="0" xfId="0">
      <alignment horizontal="right" vertical="center"/>
    </xf>
    <xf numFmtId="0" fontId="4" fillId="2" borderId="1" pivotButton="0" quotePrefix="0" xfId="0"/>
    <xf numFmtId="0" fontId="4" fillId="2" borderId="1" applyAlignment="1" pivotButton="0" quotePrefix="0" xfId="0">
      <alignment horizontal="center"/>
    </xf>
    <xf numFmtId="165" fontId="6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 wrapText="1"/>
    </xf>
    <xf numFmtId="4" fontId="5" fillId="0" borderId="1" applyAlignment="1" pivotButton="0" quotePrefix="0" xfId="0">
      <alignment horizontal="right"/>
    </xf>
    <xf numFmtId="0" fontId="8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wrapText="1"/>
    </xf>
    <xf numFmtId="0" fontId="8" fillId="4" borderId="1" pivotButton="0" quotePrefix="0" xfId="0"/>
    <xf numFmtId="0" fontId="7" fillId="0" borderId="1" applyAlignment="1" pivotButton="0" quotePrefix="0" xfId="0">
      <alignment horizontal="left"/>
    </xf>
    <xf numFmtId="164" fontId="7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0" fontId="8" fillId="3" borderId="1" applyAlignment="1" pivotButton="0" quotePrefix="0" xfId="0">
      <alignment horizontal="left"/>
    </xf>
    <xf numFmtId="164" fontId="8" fillId="3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55" customWidth="1" min="3" max="3"/>
  </cols>
  <sheetData>
    <row r="1">
      <c r="A1" s="1" t="inlineStr">
        <is>
          <t>PDD Holdings Inc. (NASDAQ: PDD)</t>
        </is>
      </c>
    </row>
    <row r="2">
      <c r="A2" s="2" t="inlineStr">
        <is>
          <t>完整財務模型 — 首次覆蓋研究</t>
        </is>
      </c>
    </row>
    <row r="3">
      <c r="A3" s="3" t="inlineStr">
        <is>
          <t>報告日期：2026-05-25 ｜ 幣別：人民幣百萬元 ｜ 分析師：Claude Code Research</t>
        </is>
      </c>
    </row>
    <row r="5">
      <c r="A5" s="4" t="inlineStr">
        <is>
          <t>模型參數</t>
        </is>
      </c>
      <c r="B5" s="5" t="inlineStr">
        <is>
          <t>數值</t>
        </is>
      </c>
      <c r="C5" s="5" t="inlineStr">
        <is>
          <t>說明 / 來源</t>
        </is>
      </c>
    </row>
    <row r="6">
      <c r="A6" s="6" t="inlineStr">
        <is>
          <t>匯率（USD/RMB）— 2026 預估</t>
        </is>
      </c>
      <c r="B6" s="7" t="n">
        <v>7.2</v>
      </c>
      <c r="C6" s="8" t="inlineStr">
        <is>
          <t>Bloomberg 即期 USD/CNY</t>
        </is>
      </c>
    </row>
    <row r="7">
      <c r="A7" s="6" t="inlineStr">
        <is>
          <t>報告幣別</t>
        </is>
      </c>
      <c r="B7" s="9" t="inlineStr">
        <is>
          <t>人民幣百萬元</t>
        </is>
      </c>
      <c r="C7" s="8" t="inlineStr">
        <is>
          <t>PDD 20-F 申報幣別</t>
        </is>
      </c>
    </row>
    <row r="8">
      <c r="A8" s="6" t="inlineStr">
        <is>
          <t>會計年度結束日</t>
        </is>
      </c>
      <c r="B8" s="9" t="inlineStr">
        <is>
          <t>12月31日</t>
        </is>
      </c>
      <c r="C8" s="8" t="inlineStr">
        <is>
          <t>PDD 會計年度</t>
        </is>
      </c>
    </row>
    <row r="9">
      <c r="A9" s="6" t="inlineStr">
        <is>
          <t>歷史年度</t>
        </is>
      </c>
      <c r="B9" s="9" t="inlineStr">
        <is>
          <t>2021A — 2024A（4 年）</t>
        </is>
      </c>
      <c r="C9" s="8" t="inlineStr">
        <is>
          <t>來自 20-F 申報文件 2023/2024</t>
        </is>
      </c>
    </row>
    <row r="10">
      <c r="A10" s="6" t="inlineStr">
        <is>
          <t>預測年度</t>
        </is>
      </c>
      <c r="B10" s="9" t="inlineStr">
        <is>
          <t>2025E — 2029E（5 年）</t>
        </is>
      </c>
      <c r="C10" s="8" t="inlineStr">
        <is>
          <t>基本情境預測</t>
        </is>
      </c>
    </row>
    <row r="11">
      <c r="A11" s="6" t="inlineStr">
        <is>
          <t>實際稅率（基本情境）</t>
        </is>
      </c>
      <c r="B11" s="10" t="n">
        <v>0.105</v>
      </c>
      <c r="C11" s="8" t="inlineStr">
        <is>
          <t>中國高新技術企業稅收優惠</t>
        </is>
      </c>
    </row>
    <row r="12">
      <c r="A12" s="6" t="inlineStr">
        <is>
          <t>折現率（WACC）— 參考</t>
        </is>
      </c>
      <c r="B12" s="10" t="n">
        <v>0.105</v>
      </c>
      <c r="C12" s="8" t="inlineStr">
        <is>
          <t>供 Task 3 DCF 使用（權益成本加權）</t>
        </is>
      </c>
    </row>
    <row r="13">
      <c r="A13" s="6" t="inlineStr">
        <is>
          <t>永續成長率（g）</t>
        </is>
      </c>
      <c r="B13" s="10" t="n">
        <v>0.03</v>
      </c>
      <c r="C13" s="8" t="inlineStr">
        <is>
          <t>長期中國 + 全球電商平均水準</t>
        </is>
      </c>
    </row>
    <row r="14">
      <c r="A14" s="6" t="inlineStr">
        <is>
          <t>稀釋後流通股數（百萬股，2024）</t>
        </is>
      </c>
      <c r="B14" s="7" t="n">
        <v>1450</v>
      </c>
      <c r="C14" s="8" t="inlineStr">
        <is>
          <t>PDD 2024 20-F 平均稀釋 ADS x 1</t>
        </is>
      </c>
    </row>
    <row r="15">
      <c r="A15" s="6" t="inlineStr">
        <is>
          <t>市值估計（美元十億，2026 Q1）</t>
        </is>
      </c>
      <c r="B15" s="7" t="n">
        <v>150</v>
      </c>
      <c r="C15" s="8" t="inlineStr">
        <is>
          <t>參考點</t>
        </is>
      </c>
    </row>
    <row r="18">
      <c r="A18" s="4" t="inlineStr">
        <is>
          <t>顏色編碼說明</t>
        </is>
      </c>
    </row>
    <row r="19">
      <c r="A19" s="11" t="inlineStr">
        <is>
          <t>藍色字體 = 硬編碼輸入</t>
        </is>
      </c>
    </row>
    <row r="20">
      <c r="A20" s="12" t="inlineStr">
        <is>
          <t>黑色字體 = 公式 / 計算</t>
        </is>
      </c>
    </row>
    <row r="21">
      <c r="A21" s="13" t="inlineStr">
        <is>
          <t>綠色字體 = 跨表引用</t>
        </is>
      </c>
    </row>
    <row r="22">
      <c r="A22" s="14" t="inlineStr">
        <is>
          <t>黃色標示 = 小計 / 合計</t>
        </is>
      </c>
    </row>
    <row r="24">
      <c r="A24" s="4" t="inlineStr">
        <is>
          <t>模型工作表索引</t>
        </is>
      </c>
    </row>
    <row r="25">
      <c r="A25" s="12" t="inlineStr">
        <is>
          <t>1. 封面與假設 — 本頁</t>
        </is>
      </c>
    </row>
    <row r="26">
      <c r="A26" s="12" t="inlineStr">
        <is>
          <t>2. 收入模型 — 詳細產品與地區分解（25 個產品行 + 18 個地區行）</t>
        </is>
      </c>
    </row>
    <row r="27">
      <c r="A27" s="12" t="inlineStr">
        <is>
          <t>3. 損益表 — 完整損益表（45 個項目 × 9 年）</t>
        </is>
      </c>
    </row>
    <row r="28">
      <c r="A28" s="12" t="inlineStr">
        <is>
          <t>4. 現金流量表 — 營業 + 投資 + 籌資活動</t>
        </is>
      </c>
    </row>
    <row r="29">
      <c r="A29" s="12" t="inlineStr">
        <is>
          <t>5. 資產負債表 — 資產 + 負債 + 權益（含平衡驗證）</t>
        </is>
      </c>
    </row>
    <row r="30">
      <c r="A30" s="12" t="inlineStr">
        <is>
          <t>6. 情境分析 — 樂觀 / 基本 / 悲觀情境比較與假設</t>
        </is>
      </c>
    </row>
    <row r="31">
      <c r="A31" s="12" t="inlineStr">
        <is>
          <t>7. DCF輸入 — 供 Task 3 估值使用的無槓桿 FCF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PDD Holdings — 收入模型（人民幣百萬元）</t>
        </is>
      </c>
    </row>
    <row r="2">
      <c r="A2" s="3" t="inlineStr">
        <is>
          <t>依產品/業務分部與地區詳細分解</t>
        </is>
      </c>
    </row>
    <row r="4">
      <c r="A4" s="15" t="inlineStr"/>
      <c r="B4" s="16" t="inlineStr">
        <is>
          <t>2021A</t>
        </is>
      </c>
      <c r="C4" s="16" t="inlineStr">
        <is>
          <t>2022A</t>
        </is>
      </c>
      <c r="D4" s="16" t="inlineStr">
        <is>
          <t>2023A</t>
        </is>
      </c>
      <c r="E4" s="16" t="inlineStr">
        <is>
          <t>2024A</t>
        </is>
      </c>
      <c r="F4" s="16" t="inlineStr">
        <is>
          <t>2025E</t>
        </is>
      </c>
      <c r="G4" s="16" t="inlineStr">
        <is>
          <t>2026E</t>
        </is>
      </c>
      <c r="H4" s="16" t="inlineStr">
        <is>
          <t>2027E</t>
        </is>
      </c>
      <c r="I4" s="16" t="inlineStr">
        <is>
          <t>2028E</t>
        </is>
      </c>
      <c r="J4" s="16" t="inlineStr">
        <is>
          <t>2029E</t>
        </is>
      </c>
    </row>
    <row r="5">
      <c r="A5" s="17" t="inlineStr">
        <is>
          <t>A. 依產品/業務分部劃分收入</t>
        </is>
      </c>
    </row>
    <row r="6">
      <c r="A6" s="18" t="inlineStr">
        <is>
          <t>拼多多核心平台（中國）</t>
        </is>
      </c>
    </row>
    <row r="7">
      <c r="A7" s="19" t="inlineStr">
        <is>
          <t xml:space="preserve">  在線行銷服務（廣告收入）</t>
        </is>
      </c>
      <c r="B7" s="20" t="n">
        <v>60500</v>
      </c>
      <c r="C7" s="20" t="n">
        <v>80500</v>
      </c>
      <c r="D7" s="20" t="n">
        <v>120300</v>
      </c>
      <c r="E7" s="20" t="n">
        <v>150500</v>
      </c>
      <c r="F7" s="20" t="n">
        <v>168000</v>
      </c>
      <c r="G7" s="20" t="n">
        <v>185000</v>
      </c>
      <c r="H7" s="20" t="n">
        <v>200000</v>
      </c>
      <c r="I7" s="20" t="n">
        <v>213000</v>
      </c>
      <c r="J7" s="20" t="n">
        <v>224000</v>
      </c>
    </row>
    <row r="8">
      <c r="A8" s="19" t="inlineStr">
        <is>
          <t xml:space="preserve">  交易服務費</t>
        </is>
      </c>
      <c r="B8" s="20" t="n">
        <v>12134</v>
      </c>
      <c r="C8" s="20" t="n">
        <v>21567</v>
      </c>
      <c r="D8" s="20" t="n">
        <v>31046</v>
      </c>
      <c r="E8" s="20" t="n">
        <v>47443</v>
      </c>
      <c r="F8" s="20" t="n">
        <v>56000</v>
      </c>
      <c r="G8" s="20" t="n">
        <v>64000</v>
      </c>
      <c r="H8" s="20" t="n">
        <v>71000</v>
      </c>
      <c r="I8" s="20" t="n">
        <v>77000</v>
      </c>
      <c r="J8" s="20" t="n">
        <v>82000</v>
      </c>
    </row>
    <row r="9">
      <c r="A9" s="19" t="inlineStr">
        <is>
          <t xml:space="preserve">  多多買菜</t>
        </is>
      </c>
      <c r="B9" s="20" t="n">
        <v>4500</v>
      </c>
      <c r="C9" s="20" t="n">
        <v>8500</v>
      </c>
      <c r="D9" s="20" t="n">
        <v>13500</v>
      </c>
      <c r="E9" s="20" t="n">
        <v>18500</v>
      </c>
      <c r="F9" s="20" t="n">
        <v>23000</v>
      </c>
      <c r="G9" s="20" t="n">
        <v>27500</v>
      </c>
      <c r="H9" s="20" t="n">
        <v>31500</v>
      </c>
      <c r="I9" s="20" t="n">
        <v>34500</v>
      </c>
      <c r="J9" s="20" t="n">
        <v>36500</v>
      </c>
    </row>
    <row r="10">
      <c r="A10" s="21" t="inlineStr">
        <is>
          <t>拼多多合計（中國）</t>
        </is>
      </c>
      <c r="B10" s="22">
        <f>SUM(B7:B9)</f>
        <v/>
      </c>
      <c r="C10" s="22">
        <f>SUM(C7:C9)</f>
        <v/>
      </c>
      <c r="D10" s="22">
        <f>SUM(D7:D9)</f>
        <v/>
      </c>
      <c r="E10" s="22">
        <f>SUM(E7:E9)</f>
        <v/>
      </c>
      <c r="F10" s="22">
        <f>SUM(F7:F9)</f>
        <v/>
      </c>
      <c r="G10" s="22">
        <f>SUM(G7:G9)</f>
        <v/>
      </c>
      <c r="H10" s="22">
        <f>SUM(H7:H9)</f>
        <v/>
      </c>
      <c r="I10" s="22">
        <f>SUM(I7:I9)</f>
        <v/>
      </c>
      <c r="J10" s="22">
        <f>SUM(J7:J9)</f>
        <v/>
      </c>
    </row>
    <row r="12">
      <c r="A12" s="18" t="inlineStr">
        <is>
          <t>Temu 全球電商</t>
        </is>
      </c>
    </row>
    <row r="13">
      <c r="A13" s="19" t="inlineStr">
        <is>
          <t xml:space="preserve">  Temu — 全託管模式</t>
        </is>
      </c>
      <c r="B13" s="20" t="n">
        <v>0</v>
      </c>
      <c r="C13" s="20" t="n">
        <v>4500</v>
      </c>
      <c r="D13" s="20" t="n">
        <v>75000</v>
      </c>
      <c r="E13" s="20" t="n">
        <v>168000</v>
      </c>
      <c r="F13" s="20" t="n">
        <v>196000</v>
      </c>
      <c r="G13" s="20" t="n">
        <v>220000</v>
      </c>
      <c r="H13" s="20" t="n">
        <v>240000</v>
      </c>
      <c r="I13" s="20" t="n">
        <v>255000</v>
      </c>
      <c r="J13" s="20" t="n">
        <v>265000</v>
      </c>
    </row>
    <row r="14">
      <c r="A14" s="19" t="inlineStr">
        <is>
          <t xml:space="preserve">  Temu — 半託管模式</t>
        </is>
      </c>
      <c r="B14" s="20" t="n">
        <v>0</v>
      </c>
      <c r="C14" s="20" t="n">
        <v>0</v>
      </c>
      <c r="D14" s="20" t="n">
        <v>0</v>
      </c>
      <c r="E14" s="20" t="n">
        <v>8500</v>
      </c>
      <c r="F14" s="20" t="n">
        <v>25000</v>
      </c>
      <c r="G14" s="20" t="n">
        <v>48000</v>
      </c>
      <c r="H14" s="20" t="n">
        <v>68000</v>
      </c>
      <c r="I14" s="20" t="n">
        <v>85000</v>
      </c>
      <c r="J14" s="20" t="n">
        <v>100000</v>
      </c>
    </row>
    <row r="15">
      <c r="A15" s="19" t="inlineStr">
        <is>
          <t xml:space="preserve">  Temu — Local-to-Local（L2L）</t>
        </is>
      </c>
      <c r="B15" s="20" t="n">
        <v>0</v>
      </c>
      <c r="C15" s="20" t="n">
        <v>0</v>
      </c>
      <c r="D15" s="20" t="n">
        <v>0</v>
      </c>
      <c r="E15" s="20" t="n">
        <v>1500</v>
      </c>
      <c r="F15" s="20" t="n">
        <v>6000</v>
      </c>
      <c r="G15" s="20" t="n">
        <v>15000</v>
      </c>
      <c r="H15" s="20" t="n">
        <v>28000</v>
      </c>
      <c r="I15" s="20" t="n">
        <v>42000</v>
      </c>
      <c r="J15" s="20" t="n">
        <v>56000</v>
      </c>
    </row>
    <row r="16">
      <c r="A16" s="21" t="inlineStr">
        <is>
          <t>Temu 合計（全球）</t>
        </is>
      </c>
      <c r="B16" s="22">
        <f>SUM(B13:B15)</f>
        <v/>
      </c>
      <c r="C16" s="22">
        <f>SUM(C13:C15)</f>
        <v/>
      </c>
      <c r="D16" s="22">
        <f>SUM(D13:D15)</f>
        <v/>
      </c>
      <c r="E16" s="22">
        <f>SUM(E13:E15)</f>
        <v/>
      </c>
      <c r="F16" s="22">
        <f>SUM(F13:F15)</f>
        <v/>
      </c>
      <c r="G16" s="22">
        <f>SUM(G13:G15)</f>
        <v/>
      </c>
      <c r="H16" s="22">
        <f>SUM(H13:H15)</f>
        <v/>
      </c>
      <c r="I16" s="22">
        <f>SUM(I13:I15)</f>
        <v/>
      </c>
      <c r="J16" s="22">
        <f>SUM(J13:J15)</f>
        <v/>
      </c>
    </row>
    <row r="18">
      <c r="A18" s="18" t="inlineStr">
        <is>
          <t>其他新業務</t>
        </is>
      </c>
    </row>
    <row r="19">
      <c r="A19" s="19" t="inlineStr">
        <is>
          <t xml:space="preserve">  多多視頻（短視頻電商廣告）</t>
        </is>
      </c>
      <c r="B19" s="20" t="n">
        <v>0</v>
      </c>
      <c r="C19" s="20" t="n">
        <v>0</v>
      </c>
      <c r="D19" s="20" t="n">
        <v>1000</v>
      </c>
      <c r="E19" s="20" t="n">
        <v>4500</v>
      </c>
      <c r="F19" s="20" t="n">
        <v>12000</v>
      </c>
      <c r="G19" s="20" t="n">
        <v>22000</v>
      </c>
      <c r="H19" s="20" t="n">
        <v>32000</v>
      </c>
      <c r="I19" s="20" t="n">
        <v>42000</v>
      </c>
      <c r="J19" s="20" t="n">
        <v>50000</v>
      </c>
    </row>
    <row r="20">
      <c r="A20" s="19" t="inlineStr">
        <is>
          <t xml:space="preserve">  多多本地生活</t>
        </is>
      </c>
      <c r="B20" s="20" t="n">
        <v>0</v>
      </c>
      <c r="C20" s="20" t="n">
        <v>0</v>
      </c>
      <c r="D20" s="20" t="n">
        <v>0</v>
      </c>
      <c r="E20" s="20" t="n">
        <v>800</v>
      </c>
      <c r="F20" s="20" t="n">
        <v>2500</v>
      </c>
      <c r="G20" s="20" t="n">
        <v>5000</v>
      </c>
      <c r="H20" s="20" t="n">
        <v>8500</v>
      </c>
      <c r="I20" s="20" t="n">
        <v>12500</v>
      </c>
      <c r="J20" s="20" t="n">
        <v>17000</v>
      </c>
    </row>
    <row r="21">
      <c r="A21" s="19" t="inlineStr">
        <is>
          <t xml:space="preserve">  其他收入</t>
        </is>
      </c>
      <c r="B21" s="20" t="n">
        <v>816</v>
      </c>
      <c r="C21" s="20" t="n">
        <v>1491</v>
      </c>
      <c r="D21" s="20" t="n">
        <v>6793</v>
      </c>
      <c r="E21" s="20" t="n">
        <v>4393</v>
      </c>
      <c r="F21" s="20" t="n">
        <v>3500</v>
      </c>
      <c r="G21" s="20" t="n">
        <v>4000</v>
      </c>
      <c r="H21" s="20" t="n">
        <v>4500</v>
      </c>
      <c r="I21" s="20" t="n">
        <v>5000</v>
      </c>
      <c r="J21" s="20" t="n">
        <v>5500</v>
      </c>
    </row>
    <row r="22">
      <c r="A22" s="21" t="inlineStr">
        <is>
          <t>新業務合計</t>
        </is>
      </c>
      <c r="B22" s="22">
        <f>SUM(B19:B21)</f>
        <v/>
      </c>
      <c r="C22" s="22">
        <f>SUM(C19:C21)</f>
        <v/>
      </c>
      <c r="D22" s="22">
        <f>SUM(D19:D21)</f>
        <v/>
      </c>
      <c r="E22" s="22">
        <f>SUM(E19:E21)</f>
        <v/>
      </c>
      <c r="F22" s="22">
        <f>SUM(F19:F21)</f>
        <v/>
      </c>
      <c r="G22" s="22">
        <f>SUM(G19:G21)</f>
        <v/>
      </c>
      <c r="H22" s="22">
        <f>SUM(H19:H21)</f>
        <v/>
      </c>
      <c r="I22" s="22">
        <f>SUM(I19:I21)</f>
        <v/>
      </c>
      <c r="J22" s="22">
        <f>SUM(J19:J21)</f>
        <v/>
      </c>
    </row>
    <row r="24">
      <c r="A24" s="21" t="inlineStr">
        <is>
          <t>總收入（人民幣百萬元）</t>
        </is>
      </c>
      <c r="B24" s="22">
        <f>B10+B16+B22</f>
        <v/>
      </c>
      <c r="C24" s="22">
        <f>C10+C16+C22</f>
        <v/>
      </c>
      <c r="D24" s="22">
        <f>D10+D16+D22</f>
        <v/>
      </c>
      <c r="E24" s="22">
        <f>E10+E16+E22</f>
        <v/>
      </c>
      <c r="F24" s="22">
        <f>F10+F16+F22</f>
        <v/>
      </c>
      <c r="G24" s="22">
        <f>G10+G16+G22</f>
        <v/>
      </c>
      <c r="H24" s="22">
        <f>H10+H16+H22</f>
        <v/>
      </c>
      <c r="I24" s="22">
        <f>I10+I16+I22</f>
        <v/>
      </c>
      <c r="J24" s="22">
        <f>J10+J16+J22</f>
        <v/>
      </c>
    </row>
    <row r="25">
      <c r="A25" s="23" t="inlineStr">
        <is>
          <t xml:space="preserve">  收入年增率 %</t>
        </is>
      </c>
      <c r="B25" s="24" t="inlineStr">
        <is>
          <t>–</t>
        </is>
      </c>
      <c r="C25" s="24">
        <f>C24/B24-1</f>
        <v/>
      </c>
      <c r="D25" s="24">
        <f>D24/C24-1</f>
        <v/>
      </c>
      <c r="E25" s="24">
        <f>E24/D24-1</f>
        <v/>
      </c>
      <c r="F25" s="24">
        <f>F24/E24-1</f>
        <v/>
      </c>
      <c r="G25" s="24">
        <f>G24/F24-1</f>
        <v/>
      </c>
      <c r="H25" s="24">
        <f>H24/G24-1</f>
        <v/>
      </c>
      <c r="I25" s="24">
        <f>I24/H24-1</f>
        <v/>
      </c>
      <c r="J25" s="24">
        <f>J24/I24-1</f>
        <v/>
      </c>
    </row>
    <row r="27">
      <c r="A27" s="25" t="inlineStr">
        <is>
          <t>業務分部佔總收入比例 %</t>
        </is>
      </c>
    </row>
    <row r="28">
      <c r="A28" s="19" t="inlineStr">
        <is>
          <t xml:space="preserve">  拼多多（中國）佔比 %</t>
        </is>
      </c>
      <c r="B28" s="26">
        <f>B10/B24</f>
        <v/>
      </c>
      <c r="C28" s="26">
        <f>C10/C24</f>
        <v/>
      </c>
      <c r="D28" s="26">
        <f>D10/D24</f>
        <v/>
      </c>
      <c r="E28" s="26">
        <f>E10/E24</f>
        <v/>
      </c>
      <c r="F28" s="26">
        <f>F10/F24</f>
        <v/>
      </c>
      <c r="G28" s="26">
        <f>G10/G24</f>
        <v/>
      </c>
      <c r="H28" s="26">
        <f>H10/H24</f>
        <v/>
      </c>
      <c r="I28" s="26">
        <f>I10/I24</f>
        <v/>
      </c>
      <c r="J28" s="26">
        <f>J10/J24</f>
        <v/>
      </c>
    </row>
    <row r="29">
      <c r="A29" s="19" t="inlineStr">
        <is>
          <t xml:space="preserve">  Temu（全球）佔比 %</t>
        </is>
      </c>
      <c r="B29" s="26">
        <f>B16/B24</f>
        <v/>
      </c>
      <c r="C29" s="26">
        <f>C16/C24</f>
        <v/>
      </c>
      <c r="D29" s="26">
        <f>D16/D24</f>
        <v/>
      </c>
      <c r="E29" s="26">
        <f>E16/E24</f>
        <v/>
      </c>
      <c r="F29" s="26">
        <f>F16/F24</f>
        <v/>
      </c>
      <c r="G29" s="26">
        <f>G16/G24</f>
        <v/>
      </c>
      <c r="H29" s="26">
        <f>H16/H24</f>
        <v/>
      </c>
      <c r="I29" s="26">
        <f>I16/I24</f>
        <v/>
      </c>
      <c r="J29" s="26">
        <f>J16/J24</f>
        <v/>
      </c>
    </row>
    <row r="30">
      <c r="A30" s="19" t="inlineStr">
        <is>
          <t xml:space="preserve">  新業務佔比 %</t>
        </is>
      </c>
      <c r="B30" s="26">
        <f>B22/B24</f>
        <v/>
      </c>
      <c r="C30" s="26">
        <f>C22/C24</f>
        <v/>
      </c>
      <c r="D30" s="26">
        <f>D22/D24</f>
        <v/>
      </c>
      <c r="E30" s="26">
        <f>E22/E24</f>
        <v/>
      </c>
      <c r="F30" s="26">
        <f>F22/F24</f>
        <v/>
      </c>
      <c r="G30" s="26">
        <f>G22/G24</f>
        <v/>
      </c>
      <c r="H30" s="26">
        <f>H22/H24</f>
        <v/>
      </c>
      <c r="I30" s="26">
        <f>I22/I24</f>
        <v/>
      </c>
      <c r="J30" s="26">
        <f>J22/J24</f>
        <v/>
      </c>
    </row>
    <row r="33">
      <c r="A33" s="17" t="inlineStr">
        <is>
          <t>B. 依地區劃分收入</t>
        </is>
      </c>
    </row>
    <row r="34">
      <c r="A34" s="15" t="inlineStr"/>
      <c r="B34" s="16" t="inlineStr">
        <is>
          <t>2021A</t>
        </is>
      </c>
      <c r="C34" s="16" t="inlineStr">
        <is>
          <t>2022A</t>
        </is>
      </c>
      <c r="D34" s="16" t="inlineStr">
        <is>
          <t>2023A</t>
        </is>
      </c>
      <c r="E34" s="16" t="inlineStr">
        <is>
          <t>2024A</t>
        </is>
      </c>
      <c r="F34" s="16" t="inlineStr">
        <is>
          <t>2025E</t>
        </is>
      </c>
      <c r="G34" s="16" t="inlineStr">
        <is>
          <t>2026E</t>
        </is>
      </c>
      <c r="H34" s="16" t="inlineStr">
        <is>
          <t>2027E</t>
        </is>
      </c>
      <c r="I34" s="16" t="inlineStr">
        <is>
          <t>2028E</t>
        </is>
      </c>
      <c r="J34" s="16" t="inlineStr">
        <is>
          <t>2029E</t>
        </is>
      </c>
    </row>
    <row r="35">
      <c r="A35" s="25" t="inlineStr">
        <is>
          <t>大中華地區</t>
        </is>
      </c>
    </row>
    <row r="36">
      <c r="A36" s="19" t="inlineStr">
        <is>
          <t xml:space="preserve">  中國大陸</t>
        </is>
      </c>
      <c r="B36" s="20" t="n">
        <v>77134</v>
      </c>
      <c r="C36" s="20" t="n">
        <v>109491</v>
      </c>
      <c r="D36" s="20" t="n">
        <v>165846</v>
      </c>
      <c r="E36" s="20" t="n">
        <v>220443</v>
      </c>
      <c r="F36" s="20" t="n">
        <v>257000</v>
      </c>
      <c r="G36" s="20" t="n">
        <v>290500</v>
      </c>
      <c r="H36" s="20" t="n">
        <v>322000</v>
      </c>
      <c r="I36" s="20" t="n">
        <v>350000</v>
      </c>
      <c r="J36" s="20" t="n">
        <v>375000</v>
      </c>
    </row>
    <row r="37">
      <c r="A37" s="19" t="inlineStr">
        <is>
          <t xml:space="preserve">  香港 / 台灣 / 澳門</t>
        </is>
      </c>
      <c r="B37" s="20" t="n">
        <v>0</v>
      </c>
      <c r="C37" s="20" t="n">
        <v>1067</v>
      </c>
      <c r="D37" s="20" t="n">
        <v>1500</v>
      </c>
      <c r="E37" s="20" t="n">
        <v>1800</v>
      </c>
      <c r="F37" s="20" t="n">
        <v>2200</v>
      </c>
      <c r="G37" s="20" t="n">
        <v>2500</v>
      </c>
      <c r="H37" s="20" t="n">
        <v>2800</v>
      </c>
      <c r="I37" s="20" t="n">
        <v>3000</v>
      </c>
      <c r="J37" s="20" t="n">
        <v>3200</v>
      </c>
    </row>
    <row r="38">
      <c r="A38" s="21" t="inlineStr">
        <is>
          <t>大中華合計</t>
        </is>
      </c>
      <c r="B38" s="22">
        <f>SUM(B36:B37)</f>
        <v/>
      </c>
      <c r="C38" s="22">
        <f>SUM(C36:C37)</f>
        <v/>
      </c>
      <c r="D38" s="22">
        <f>SUM(D36:D37)</f>
        <v/>
      </c>
      <c r="E38" s="22">
        <f>SUM(E36:E37)</f>
        <v/>
      </c>
      <c r="F38" s="22">
        <f>SUM(F36:F37)</f>
        <v/>
      </c>
      <c r="G38" s="22">
        <f>SUM(G36:G37)</f>
        <v/>
      </c>
      <c r="H38" s="22">
        <f>SUM(H36:H37)</f>
        <v/>
      </c>
      <c r="I38" s="22">
        <f>SUM(I36:I37)</f>
        <v/>
      </c>
      <c r="J38" s="22">
        <f>SUM(J36:J37)</f>
        <v/>
      </c>
    </row>
    <row r="39">
      <c r="A39" s="25" t="inlineStr">
        <is>
          <t>北美</t>
        </is>
      </c>
    </row>
    <row r="40">
      <c r="A40" s="19" t="inlineStr">
        <is>
          <t xml:space="preserve">  美國</t>
        </is>
      </c>
      <c r="B40" s="20" t="n">
        <v>0</v>
      </c>
      <c r="C40" s="20" t="n">
        <v>2500</v>
      </c>
      <c r="D40" s="20" t="n">
        <v>50000</v>
      </c>
      <c r="E40" s="20" t="n">
        <v>105000</v>
      </c>
      <c r="F40" s="20" t="n">
        <v>120000</v>
      </c>
      <c r="G40" s="20" t="n">
        <v>135000</v>
      </c>
      <c r="H40" s="20" t="n">
        <v>150000</v>
      </c>
      <c r="I40" s="20" t="n">
        <v>162000</v>
      </c>
      <c r="J40" s="20" t="n">
        <v>173000</v>
      </c>
    </row>
    <row r="41">
      <c r="A41" s="19" t="inlineStr">
        <is>
          <t xml:space="preserve">  加拿大</t>
        </is>
      </c>
      <c r="B41" s="20" t="n">
        <v>0</v>
      </c>
      <c r="C41" s="20" t="n">
        <v>0</v>
      </c>
      <c r="D41" s="20" t="n">
        <v>4000</v>
      </c>
      <c r="E41" s="20" t="n">
        <v>9000</v>
      </c>
      <c r="F41" s="20" t="n">
        <v>12000</v>
      </c>
      <c r="G41" s="20" t="n">
        <v>15000</v>
      </c>
      <c r="H41" s="20" t="n">
        <v>17500</v>
      </c>
      <c r="I41" s="20" t="n">
        <v>20000</v>
      </c>
      <c r="J41" s="20" t="n">
        <v>22000</v>
      </c>
    </row>
    <row r="42">
      <c r="A42" s="19" t="inlineStr">
        <is>
          <t xml:space="preserve">  墨西哥</t>
        </is>
      </c>
      <c r="B42" s="20" t="n">
        <v>0</v>
      </c>
      <c r="C42" s="20" t="n">
        <v>0</v>
      </c>
      <c r="D42" s="20" t="n">
        <v>1500</v>
      </c>
      <c r="E42" s="20" t="n">
        <v>5500</v>
      </c>
      <c r="F42" s="20" t="n">
        <v>9000</v>
      </c>
      <c r="G42" s="20" t="n">
        <v>13000</v>
      </c>
      <c r="H42" s="20" t="n">
        <v>17000</v>
      </c>
      <c r="I42" s="20" t="n">
        <v>21000</v>
      </c>
      <c r="J42" s="20" t="n">
        <v>24500</v>
      </c>
    </row>
    <row r="43">
      <c r="A43" s="21" t="inlineStr">
        <is>
          <t>北美合計</t>
        </is>
      </c>
      <c r="B43" s="22">
        <f>SUM(B40:B42)</f>
        <v/>
      </c>
      <c r="C43" s="22">
        <f>SUM(C40:C42)</f>
        <v/>
      </c>
      <c r="D43" s="22">
        <f>SUM(D40:D42)</f>
        <v/>
      </c>
      <c r="E43" s="22">
        <f>SUM(E40:E42)</f>
        <v/>
      </c>
      <c r="F43" s="22">
        <f>SUM(F40:F42)</f>
        <v/>
      </c>
      <c r="G43" s="22">
        <f>SUM(G40:G42)</f>
        <v/>
      </c>
      <c r="H43" s="22">
        <f>SUM(H40:H42)</f>
        <v/>
      </c>
      <c r="I43" s="22">
        <f>SUM(I40:I42)</f>
        <v/>
      </c>
      <c r="J43" s="22">
        <f>SUM(J40:J42)</f>
        <v/>
      </c>
    </row>
    <row r="44">
      <c r="A44" s="25" t="inlineStr">
        <is>
          <t>歐洲</t>
        </is>
      </c>
    </row>
    <row r="45">
      <c r="A45" s="19" t="inlineStr">
        <is>
          <t xml:space="preserve">  英國</t>
        </is>
      </c>
      <c r="B45" s="20" t="n">
        <v>0</v>
      </c>
      <c r="C45" s="20" t="n">
        <v>0</v>
      </c>
      <c r="D45" s="20" t="n">
        <v>4500</v>
      </c>
      <c r="E45" s="20" t="n">
        <v>10500</v>
      </c>
      <c r="F45" s="20" t="n">
        <v>14500</v>
      </c>
      <c r="G45" s="20" t="n">
        <v>18500</v>
      </c>
      <c r="H45" s="20" t="n">
        <v>22000</v>
      </c>
      <c r="I45" s="20" t="n">
        <v>25000</v>
      </c>
      <c r="J45" s="20" t="n">
        <v>27500</v>
      </c>
    </row>
    <row r="46">
      <c r="A46" s="19" t="inlineStr">
        <is>
          <t xml:space="preserve">  德國</t>
        </is>
      </c>
      <c r="B46" s="20" t="n">
        <v>0</v>
      </c>
      <c r="C46" s="20" t="n">
        <v>0</v>
      </c>
      <c r="D46" s="20" t="n">
        <v>3500</v>
      </c>
      <c r="E46" s="20" t="n">
        <v>9000</v>
      </c>
      <c r="F46" s="20" t="n">
        <v>13000</v>
      </c>
      <c r="G46" s="20" t="n">
        <v>17000</v>
      </c>
      <c r="H46" s="20" t="n">
        <v>21000</v>
      </c>
      <c r="I46" s="20" t="n">
        <v>24500</v>
      </c>
      <c r="J46" s="20" t="n">
        <v>27000</v>
      </c>
    </row>
    <row r="47">
      <c r="A47" s="19" t="inlineStr">
        <is>
          <t xml:space="preserve">  法國</t>
        </is>
      </c>
      <c r="B47" s="20" t="n">
        <v>0</v>
      </c>
      <c r="C47" s="20" t="n">
        <v>0</v>
      </c>
      <c r="D47" s="20" t="n">
        <v>2500</v>
      </c>
      <c r="E47" s="20" t="n">
        <v>6500</v>
      </c>
      <c r="F47" s="20" t="n">
        <v>9500</v>
      </c>
      <c r="G47" s="20" t="n">
        <v>12500</v>
      </c>
      <c r="H47" s="20" t="n">
        <v>15500</v>
      </c>
      <c r="I47" s="20" t="n">
        <v>18000</v>
      </c>
      <c r="J47" s="20" t="n">
        <v>20000</v>
      </c>
    </row>
    <row r="48">
      <c r="A48" s="19" t="inlineStr">
        <is>
          <t xml:space="preserve">  其他歐洲（IT/ES/NL/PL 等）</t>
        </is>
      </c>
      <c r="B48" s="20" t="n">
        <v>0</v>
      </c>
      <c r="C48" s="20" t="n">
        <v>0</v>
      </c>
      <c r="D48" s="20" t="n">
        <v>4000</v>
      </c>
      <c r="E48" s="20" t="n">
        <v>10000</v>
      </c>
      <c r="F48" s="20" t="n">
        <v>16500</v>
      </c>
      <c r="G48" s="20" t="n">
        <v>23000</v>
      </c>
      <c r="H48" s="20" t="n">
        <v>29000</v>
      </c>
      <c r="I48" s="20" t="n">
        <v>34000</v>
      </c>
      <c r="J48" s="20" t="n">
        <v>38000</v>
      </c>
    </row>
    <row r="49">
      <c r="A49" s="21" t="inlineStr">
        <is>
          <t>歐洲合計</t>
        </is>
      </c>
      <c r="B49" s="22">
        <f>SUM(B45:B48)</f>
        <v/>
      </c>
      <c r="C49" s="22">
        <f>SUM(C45:C48)</f>
        <v/>
      </c>
      <c r="D49" s="22">
        <f>SUM(D45:D48)</f>
        <v/>
      </c>
      <c r="E49" s="22">
        <f>SUM(E45:E48)</f>
        <v/>
      </c>
      <c r="F49" s="22">
        <f>SUM(F45:F48)</f>
        <v/>
      </c>
      <c r="G49" s="22">
        <f>SUM(G45:G48)</f>
        <v/>
      </c>
      <c r="H49" s="22">
        <f>SUM(H45:H48)</f>
        <v/>
      </c>
      <c r="I49" s="22">
        <f>SUM(I45:I48)</f>
        <v/>
      </c>
      <c r="J49" s="22">
        <f>SUM(J45:J48)</f>
        <v/>
      </c>
    </row>
    <row r="50">
      <c r="A50" s="25" t="inlineStr">
        <is>
          <t>亞太地區（不含中國）</t>
        </is>
      </c>
    </row>
    <row r="51">
      <c r="A51" s="19" t="inlineStr">
        <is>
          <t xml:space="preserve">  日本 + 韓國</t>
        </is>
      </c>
      <c r="B51" s="20" t="n">
        <v>0</v>
      </c>
      <c r="C51" s="20" t="n">
        <v>0</v>
      </c>
      <c r="D51" s="20" t="n">
        <v>2000</v>
      </c>
      <c r="E51" s="20" t="n">
        <v>5500</v>
      </c>
      <c r="F51" s="20" t="n">
        <v>9500</v>
      </c>
      <c r="G51" s="20" t="n">
        <v>14000</v>
      </c>
      <c r="H51" s="20" t="n">
        <v>18500</v>
      </c>
      <c r="I51" s="20" t="n">
        <v>23000</v>
      </c>
      <c r="J51" s="20" t="n">
        <v>27000</v>
      </c>
    </row>
    <row r="52">
      <c r="A52" s="19" t="inlineStr">
        <is>
          <t xml:space="preserve">  澳洲 / 紐西蘭</t>
        </is>
      </c>
      <c r="B52" s="20" t="n">
        <v>0</v>
      </c>
      <c r="C52" s="20" t="n">
        <v>0</v>
      </c>
      <c r="D52" s="20" t="n">
        <v>1500</v>
      </c>
      <c r="E52" s="20" t="n">
        <v>3500</v>
      </c>
      <c r="F52" s="20" t="n">
        <v>5500</v>
      </c>
      <c r="G52" s="20" t="n">
        <v>7500</v>
      </c>
      <c r="H52" s="20" t="n">
        <v>9500</v>
      </c>
      <c r="I52" s="20" t="n">
        <v>11000</v>
      </c>
      <c r="J52" s="20" t="n">
        <v>12500</v>
      </c>
    </row>
    <row r="53">
      <c r="A53" s="19" t="inlineStr">
        <is>
          <t xml:space="preserve">  東南亞（ID/TH/PH/VN/MY）</t>
        </is>
      </c>
      <c r="B53" s="20" t="n">
        <v>0</v>
      </c>
      <c r="C53" s="20" t="n">
        <v>0</v>
      </c>
      <c r="D53" s="20" t="n">
        <v>800</v>
      </c>
      <c r="E53" s="20" t="n">
        <v>2500</v>
      </c>
      <c r="F53" s="20" t="n">
        <v>5000</v>
      </c>
      <c r="G53" s="20" t="n">
        <v>8500</v>
      </c>
      <c r="H53" s="20" t="n">
        <v>12500</v>
      </c>
      <c r="I53" s="20" t="n">
        <v>16500</v>
      </c>
      <c r="J53" s="20" t="n">
        <v>20500</v>
      </c>
    </row>
    <row r="54">
      <c r="A54" s="21" t="inlineStr">
        <is>
          <t>亞太合計</t>
        </is>
      </c>
      <c r="B54" s="22">
        <f>SUM(B51:B53)</f>
        <v/>
      </c>
      <c r="C54" s="22">
        <f>SUM(C51:C53)</f>
        <v/>
      </c>
      <c r="D54" s="22">
        <f>SUM(D51:D53)</f>
        <v/>
      </c>
      <c r="E54" s="22">
        <f>SUM(E51:E53)</f>
        <v/>
      </c>
      <c r="F54" s="22">
        <f>SUM(F51:F53)</f>
        <v/>
      </c>
      <c r="G54" s="22">
        <f>SUM(G51:G53)</f>
        <v/>
      </c>
      <c r="H54" s="22">
        <f>SUM(H51:H53)</f>
        <v/>
      </c>
      <c r="I54" s="22">
        <f>SUM(I51:I53)</f>
        <v/>
      </c>
      <c r="J54" s="22">
        <f>SUM(J51:J53)</f>
        <v/>
      </c>
    </row>
    <row r="55">
      <c r="A55" s="25" t="inlineStr">
        <is>
          <t>世界其他地區</t>
        </is>
      </c>
    </row>
    <row r="56">
      <c r="A56" s="19" t="inlineStr">
        <is>
          <t xml:space="preserve">  拉丁美洲（BR/AR/CL 等）</t>
        </is>
      </c>
      <c r="B56" s="20" t="n">
        <v>0</v>
      </c>
      <c r="C56" s="20" t="n">
        <v>0</v>
      </c>
      <c r="D56" s="20" t="n">
        <v>1500</v>
      </c>
      <c r="E56" s="20" t="n">
        <v>5500</v>
      </c>
      <c r="F56" s="20" t="n">
        <v>11500</v>
      </c>
      <c r="G56" s="20" t="n">
        <v>18000</v>
      </c>
      <c r="H56" s="20" t="n">
        <v>25500</v>
      </c>
      <c r="I56" s="20" t="n">
        <v>32500</v>
      </c>
      <c r="J56" s="20" t="n">
        <v>39000</v>
      </c>
    </row>
    <row r="57">
      <c r="A57" s="19" t="inlineStr">
        <is>
          <t xml:space="preserve">  中東 / 北非</t>
        </is>
      </c>
      <c r="B57" s="20" t="n">
        <v>0</v>
      </c>
      <c r="C57" s="20" t="n">
        <v>0</v>
      </c>
      <c r="D57" s="20" t="n">
        <v>500</v>
      </c>
      <c r="E57" s="20" t="n">
        <v>2500</v>
      </c>
      <c r="F57" s="20" t="n">
        <v>6500</v>
      </c>
      <c r="G57" s="20" t="n">
        <v>11000</v>
      </c>
      <c r="H57" s="20" t="n">
        <v>16500</v>
      </c>
      <c r="I57" s="20" t="n">
        <v>22500</v>
      </c>
      <c r="J57" s="20" t="n">
        <v>28500</v>
      </c>
    </row>
    <row r="58">
      <c r="A58" s="21" t="inlineStr">
        <is>
          <t>世界其他地區合計</t>
        </is>
      </c>
      <c r="B58" s="22">
        <f>SUM(B56:B57)</f>
        <v/>
      </c>
      <c r="C58" s="22">
        <f>SUM(C56:C57)</f>
        <v/>
      </c>
      <c r="D58" s="22">
        <f>SUM(D56:D57)</f>
        <v/>
      </c>
      <c r="E58" s="22">
        <f>SUM(E56:E57)</f>
        <v/>
      </c>
      <c r="F58" s="22">
        <f>SUM(F56:F57)</f>
        <v/>
      </c>
      <c r="G58" s="22">
        <f>SUM(G56:G57)</f>
        <v/>
      </c>
      <c r="H58" s="22">
        <f>SUM(H56:H57)</f>
        <v/>
      </c>
      <c r="I58" s="22">
        <f>SUM(I56:I57)</f>
        <v/>
      </c>
      <c r="J58" s="22">
        <f>SUM(J56:J57)</f>
        <v/>
      </c>
    </row>
    <row r="60">
      <c r="A60" s="21" t="inlineStr">
        <is>
          <t>總收入（地區交叉驗證）</t>
        </is>
      </c>
      <c r="B60" s="22">
        <f>B38+B43+B49+B54+B58</f>
        <v/>
      </c>
      <c r="C60" s="22">
        <f>C38+C43+C49+C54+C58</f>
        <v/>
      </c>
      <c r="D60" s="22">
        <f>D38+D43+D49+D54+D58</f>
        <v/>
      </c>
      <c r="E60" s="22">
        <f>E38+E43+E49+E54+E58</f>
        <v/>
      </c>
      <c r="F60" s="22">
        <f>F38+F43+F49+F54+F58</f>
        <v/>
      </c>
      <c r="G60" s="22">
        <f>G38+G43+G49+G54+G58</f>
        <v/>
      </c>
      <c r="H60" s="22">
        <f>H38+H43+H49+H54+H58</f>
        <v/>
      </c>
      <c r="I60" s="22">
        <f>I38+I43+I49+I54+I58</f>
        <v/>
      </c>
      <c r="J60" s="22">
        <f>J38+J43+J49+J54+J58</f>
        <v/>
      </c>
    </row>
    <row r="61">
      <c r="A61" s="27" t="inlineStr">
        <is>
          <t xml:space="preserve">  ✓ 產品合計 vs 地區合計（應 = 0）</t>
        </is>
      </c>
      <c r="B61" s="28">
        <f>B24-B60</f>
        <v/>
      </c>
      <c r="C61" s="28">
        <f>C24-C60</f>
        <v/>
      </c>
      <c r="D61" s="28">
        <f>D24-D60</f>
        <v/>
      </c>
      <c r="E61" s="28">
        <f>E24-E60</f>
        <v/>
      </c>
      <c r="F61" s="28">
        <f>F24-F60</f>
        <v/>
      </c>
      <c r="G61" s="28">
        <f>G24-G60</f>
        <v/>
      </c>
      <c r="H61" s="28">
        <f>H24-H60</f>
        <v/>
      </c>
      <c r="I61" s="28">
        <f>I24-I60</f>
        <v/>
      </c>
      <c r="J61" s="28">
        <f>J24-J60</f>
        <v/>
      </c>
    </row>
    <row r="63">
      <c r="A63" s="25" t="inlineStr">
        <is>
          <t>地區佔總收入比例 %</t>
        </is>
      </c>
    </row>
    <row r="64">
      <c r="A64" s="19" t="inlineStr">
        <is>
          <t xml:space="preserve">  大中華佔比 %</t>
        </is>
      </c>
      <c r="B64" s="26">
        <f>B38/B60</f>
        <v/>
      </c>
      <c r="C64" s="26">
        <f>C38/C60</f>
        <v/>
      </c>
      <c r="D64" s="26">
        <f>D38/D60</f>
        <v/>
      </c>
      <c r="E64" s="26">
        <f>E38/E60</f>
        <v/>
      </c>
      <c r="F64" s="26">
        <f>F38/F60</f>
        <v/>
      </c>
      <c r="G64" s="26">
        <f>G38/G60</f>
        <v/>
      </c>
      <c r="H64" s="26">
        <f>H38/H60</f>
        <v/>
      </c>
      <c r="I64" s="26">
        <f>I38/I60</f>
        <v/>
      </c>
      <c r="J64" s="26">
        <f>J38/J60</f>
        <v/>
      </c>
    </row>
    <row r="65">
      <c r="A65" s="19" t="inlineStr">
        <is>
          <t xml:space="preserve">  北美佔比 %</t>
        </is>
      </c>
      <c r="B65" s="26">
        <f>B43/B60</f>
        <v/>
      </c>
      <c r="C65" s="26">
        <f>C43/C60</f>
        <v/>
      </c>
      <c r="D65" s="26">
        <f>D43/D60</f>
        <v/>
      </c>
      <c r="E65" s="26">
        <f>E43/E60</f>
        <v/>
      </c>
      <c r="F65" s="26">
        <f>F43/F60</f>
        <v/>
      </c>
      <c r="G65" s="26">
        <f>G43/G60</f>
        <v/>
      </c>
      <c r="H65" s="26">
        <f>H43/H60</f>
        <v/>
      </c>
      <c r="I65" s="26">
        <f>I43/I60</f>
        <v/>
      </c>
      <c r="J65" s="26">
        <f>J43/J60</f>
        <v/>
      </c>
    </row>
    <row r="66">
      <c r="A66" s="19" t="inlineStr">
        <is>
          <t xml:space="preserve">  歐洲佔比 %</t>
        </is>
      </c>
      <c r="B66" s="26">
        <f>B49/B60</f>
        <v/>
      </c>
      <c r="C66" s="26">
        <f>C49/C60</f>
        <v/>
      </c>
      <c r="D66" s="26">
        <f>D49/D60</f>
        <v/>
      </c>
      <c r="E66" s="26">
        <f>E49/E60</f>
        <v/>
      </c>
      <c r="F66" s="26">
        <f>F49/F60</f>
        <v/>
      </c>
      <c r="G66" s="26">
        <f>G49/G60</f>
        <v/>
      </c>
      <c r="H66" s="26">
        <f>H49/H60</f>
        <v/>
      </c>
      <c r="I66" s="26">
        <f>I49/I60</f>
        <v/>
      </c>
      <c r="J66" s="26">
        <f>J49/J60</f>
        <v/>
      </c>
    </row>
    <row r="67">
      <c r="A67" s="19" t="inlineStr">
        <is>
          <t xml:space="preserve">  亞太佔比 %</t>
        </is>
      </c>
      <c r="B67" s="26">
        <f>B54/B60</f>
        <v/>
      </c>
      <c r="C67" s="26">
        <f>C54/C60</f>
        <v/>
      </c>
      <c r="D67" s="26">
        <f>D54/D60</f>
        <v/>
      </c>
      <c r="E67" s="26">
        <f>E54/E60</f>
        <v/>
      </c>
      <c r="F67" s="26">
        <f>F54/F60</f>
        <v/>
      </c>
      <c r="G67" s="26">
        <f>G54/G60</f>
        <v/>
      </c>
      <c r="H67" s="26">
        <f>H54/H60</f>
        <v/>
      </c>
      <c r="I67" s="26">
        <f>I54/I60</f>
        <v/>
      </c>
      <c r="J67" s="26">
        <f>J54/J60</f>
        <v/>
      </c>
    </row>
    <row r="68">
      <c r="A68" s="19" t="inlineStr">
        <is>
          <t xml:space="preserve">  世界其他地區佔比 %</t>
        </is>
      </c>
      <c r="B68" s="26">
        <f>B58/B60</f>
        <v/>
      </c>
      <c r="C68" s="26">
        <f>C58/C60</f>
        <v/>
      </c>
      <c r="D68" s="26">
        <f>D58/D60</f>
        <v/>
      </c>
      <c r="E68" s="26">
        <f>E58/E60</f>
        <v/>
      </c>
      <c r="F68" s="26">
        <f>F58/F60</f>
        <v/>
      </c>
      <c r="G68" s="26">
        <f>G58/G60</f>
        <v/>
      </c>
      <c r="H68" s="26">
        <f>H58/H60</f>
        <v/>
      </c>
      <c r="I68" s="26">
        <f>I58/I60</f>
        <v/>
      </c>
      <c r="J68" s="26">
        <f>J58/J60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PDD Holdings — 損益表（人民幣百萬元）</t>
        </is>
      </c>
    </row>
    <row r="2">
      <c r="A2" s="3" t="inlineStr">
        <is>
          <t>完整損益表：4 年歷史（2021A-2024A）+ 5 年預測（2025E-2029E）</t>
        </is>
      </c>
    </row>
    <row r="4">
      <c r="A4" s="15" t="inlineStr"/>
      <c r="B4" s="16" t="inlineStr">
        <is>
          <t>2021A</t>
        </is>
      </c>
      <c r="C4" s="16" t="inlineStr">
        <is>
          <t>2022A</t>
        </is>
      </c>
      <c r="D4" s="16" t="inlineStr">
        <is>
          <t>2023A</t>
        </is>
      </c>
      <c r="E4" s="16" t="inlineStr">
        <is>
          <t>2024A</t>
        </is>
      </c>
      <c r="F4" s="16" t="inlineStr">
        <is>
          <t>2025E</t>
        </is>
      </c>
      <c r="G4" s="16" t="inlineStr">
        <is>
          <t>2026E</t>
        </is>
      </c>
      <c r="H4" s="16" t="inlineStr">
        <is>
          <t>2027E</t>
        </is>
      </c>
      <c r="I4" s="16" t="inlineStr">
        <is>
          <t>2028E</t>
        </is>
      </c>
      <c r="J4" s="16" t="inlineStr">
        <is>
          <t>2029E</t>
        </is>
      </c>
    </row>
    <row r="5">
      <c r="A5" s="4" t="inlineStr">
        <is>
          <t>收入</t>
        </is>
      </c>
    </row>
    <row r="6">
      <c r="A6" s="21" t="inlineStr">
        <is>
          <t>總收入</t>
        </is>
      </c>
      <c r="B6" s="22">
        <f>收入模型!B24</f>
        <v/>
      </c>
      <c r="C6" s="22">
        <f>收入模型!C24</f>
        <v/>
      </c>
      <c r="D6" s="22">
        <f>收入模型!D24</f>
        <v/>
      </c>
      <c r="E6" s="22">
        <f>收入模型!E24</f>
        <v/>
      </c>
      <c r="F6" s="22">
        <f>收入模型!F24</f>
        <v/>
      </c>
      <c r="G6" s="22">
        <f>收入模型!G24</f>
        <v/>
      </c>
      <c r="H6" s="22">
        <f>收入模型!H24</f>
        <v/>
      </c>
      <c r="I6" s="22">
        <f>收入模型!I24</f>
        <v/>
      </c>
      <c r="J6" s="22">
        <f>收入模型!J24</f>
        <v/>
      </c>
    </row>
    <row r="7">
      <c r="A7" s="19" t="inlineStr">
        <is>
          <t xml:space="preserve">  收入年增率 %</t>
        </is>
      </c>
      <c r="B7" s="26" t="inlineStr">
        <is>
          <t>–</t>
        </is>
      </c>
      <c r="C7" s="26">
        <f>C6/B6-1</f>
        <v/>
      </c>
      <c r="D7" s="26">
        <f>D6/C6-1</f>
        <v/>
      </c>
      <c r="E7" s="26">
        <f>E6/D6-1</f>
        <v/>
      </c>
      <c r="F7" s="26">
        <f>F6/E6-1</f>
        <v/>
      </c>
      <c r="G7" s="26">
        <f>G6/F6-1</f>
        <v/>
      </c>
      <c r="H7" s="26">
        <f>H6/G6-1</f>
        <v/>
      </c>
      <c r="I7" s="26">
        <f>I6/H6-1</f>
        <v/>
      </c>
      <c r="J7" s="26">
        <f>J6/I6-1</f>
        <v/>
      </c>
    </row>
    <row r="9">
      <c r="A9" s="4" t="inlineStr">
        <is>
          <t>營業成本</t>
        </is>
      </c>
    </row>
    <row r="10">
      <c r="A10" s="19" t="inlineStr">
        <is>
          <t xml:space="preserve">  履約物流成本</t>
        </is>
      </c>
      <c r="B10" s="20" t="n">
        <v>12500</v>
      </c>
      <c r="C10" s="20" t="n">
        <v>15500</v>
      </c>
      <c r="D10" s="20" t="n">
        <v>35000</v>
      </c>
      <c r="E10" s="20" t="n">
        <v>65000</v>
      </c>
      <c r="F10" s="20" t="n">
        <v>79000</v>
      </c>
      <c r="G10" s="20" t="n">
        <v>92000</v>
      </c>
      <c r="H10" s="20" t="n">
        <v>105000</v>
      </c>
      <c r="I10" s="20" t="n">
        <v>116000</v>
      </c>
      <c r="J10" s="20" t="n">
        <v>125000</v>
      </c>
    </row>
    <row r="11">
      <c r="A11" s="19" t="inlineStr">
        <is>
          <t xml:space="preserve">  存貨與商品採購</t>
        </is>
      </c>
      <c r="B11" s="20" t="n">
        <v>5500</v>
      </c>
      <c r="C11" s="20" t="n">
        <v>7500</v>
      </c>
      <c r="D11" s="20" t="n">
        <v>22000</v>
      </c>
      <c r="E11" s="20" t="n">
        <v>51000</v>
      </c>
      <c r="F11" s="20" t="n">
        <v>64000</v>
      </c>
      <c r="G11" s="20" t="n">
        <v>76500</v>
      </c>
      <c r="H11" s="20" t="n">
        <v>88500</v>
      </c>
      <c r="I11" s="20" t="n">
        <v>99000</v>
      </c>
      <c r="J11" s="20" t="n">
        <v>108500</v>
      </c>
    </row>
    <row r="12">
      <c r="A12" s="19" t="inlineStr">
        <is>
          <t xml:space="preserve">  支付通道費用</t>
        </is>
      </c>
      <c r="B12" s="20" t="n">
        <v>8547</v>
      </c>
      <c r="C12" s="20" t="n">
        <v>7996</v>
      </c>
      <c r="D12" s="20" t="n">
        <v>23424</v>
      </c>
      <c r="E12" s="20" t="n">
        <v>27234</v>
      </c>
      <c r="F12" s="20" t="n">
        <v>32500</v>
      </c>
      <c r="G12" s="20" t="n">
        <v>38500</v>
      </c>
      <c r="H12" s="20" t="n">
        <v>44500</v>
      </c>
      <c r="I12" s="20" t="n">
        <v>49500</v>
      </c>
      <c r="J12" s="20" t="n">
        <v>54000</v>
      </c>
    </row>
    <row r="13">
      <c r="A13" s="19" t="inlineStr">
        <is>
          <t xml:space="preserve">  伺服器與頻寬</t>
        </is>
      </c>
      <c r="B13" s="20" t="n">
        <v>4500</v>
      </c>
      <c r="C13" s="20" t="n">
        <v>3500</v>
      </c>
      <c r="D13" s="20" t="n">
        <v>9500</v>
      </c>
      <c r="E13" s="20" t="n">
        <v>11500</v>
      </c>
      <c r="F13" s="20" t="n">
        <v>13500</v>
      </c>
      <c r="G13" s="20" t="n">
        <v>15500</v>
      </c>
      <c r="H13" s="20" t="n">
        <v>17500</v>
      </c>
      <c r="I13" s="20" t="n">
        <v>19000</v>
      </c>
      <c r="J13" s="20" t="n">
        <v>20500</v>
      </c>
    </row>
    <row r="14">
      <c r="A14" s="19" t="inlineStr">
        <is>
          <t xml:space="preserve">  其他營業成本</t>
        </is>
      </c>
      <c r="B14" s="20" t="n">
        <v>1500</v>
      </c>
      <c r="C14" s="20" t="n">
        <v>1500</v>
      </c>
      <c r="D14" s="20" t="n">
        <v>3000</v>
      </c>
      <c r="E14" s="20" t="n">
        <v>3500</v>
      </c>
      <c r="F14" s="20" t="n">
        <v>4000</v>
      </c>
      <c r="G14" s="20" t="n">
        <v>4500</v>
      </c>
      <c r="H14" s="20" t="n">
        <v>5000</v>
      </c>
      <c r="I14" s="20" t="n">
        <v>5500</v>
      </c>
      <c r="J14" s="20" t="n">
        <v>6000</v>
      </c>
    </row>
    <row r="15">
      <c r="A15" s="21" t="inlineStr">
        <is>
          <t>營業成本合計</t>
        </is>
      </c>
      <c r="B15" s="22">
        <f>SUM(B10:B14)</f>
        <v/>
      </c>
      <c r="C15" s="22">
        <f>SUM(C10:C14)</f>
        <v/>
      </c>
      <c r="D15" s="22">
        <f>SUM(D10:D14)</f>
        <v/>
      </c>
      <c r="E15" s="22">
        <f>SUM(E10:E14)</f>
        <v/>
      </c>
      <c r="F15" s="22">
        <f>SUM(F10:F14)</f>
        <v/>
      </c>
      <c r="G15" s="22">
        <f>SUM(G10:G14)</f>
        <v/>
      </c>
      <c r="H15" s="22">
        <f>SUM(H10:H14)</f>
        <v/>
      </c>
      <c r="I15" s="22">
        <f>SUM(I10:I14)</f>
        <v/>
      </c>
      <c r="J15" s="22">
        <f>SUM(J10:J14)</f>
        <v/>
      </c>
    </row>
    <row r="17">
      <c r="A17" s="21" t="inlineStr">
        <is>
          <t>毛利</t>
        </is>
      </c>
      <c r="B17" s="22">
        <f>B6-B15</f>
        <v/>
      </c>
      <c r="C17" s="22">
        <f>C6-C15</f>
        <v/>
      </c>
      <c r="D17" s="22">
        <f>D6-D15</f>
        <v/>
      </c>
      <c r="E17" s="22">
        <f>E6-E15</f>
        <v/>
      </c>
      <c r="F17" s="22">
        <f>F6-F15</f>
        <v/>
      </c>
      <c r="G17" s="22">
        <f>G6-G15</f>
        <v/>
      </c>
      <c r="H17" s="22">
        <f>H6-H15</f>
        <v/>
      </c>
      <c r="I17" s="22">
        <f>I6-I15</f>
        <v/>
      </c>
      <c r="J17" s="22">
        <f>J6-J15</f>
        <v/>
      </c>
    </row>
    <row r="18">
      <c r="A18" s="19" t="inlineStr">
        <is>
          <t xml:space="preserve">  毛利率 %</t>
        </is>
      </c>
      <c r="B18" s="26">
        <f>B17/B6</f>
        <v/>
      </c>
      <c r="C18" s="26">
        <f>C17/C6</f>
        <v/>
      </c>
      <c r="D18" s="26">
        <f>D17/D6</f>
        <v/>
      </c>
      <c r="E18" s="26">
        <f>E17/E6</f>
        <v/>
      </c>
      <c r="F18" s="26">
        <f>F17/F6</f>
        <v/>
      </c>
      <c r="G18" s="26">
        <f>G17/G6</f>
        <v/>
      </c>
      <c r="H18" s="26">
        <f>H17/H6</f>
        <v/>
      </c>
      <c r="I18" s="26">
        <f>I17/I6</f>
        <v/>
      </c>
      <c r="J18" s="26">
        <f>J17/J6</f>
        <v/>
      </c>
    </row>
    <row r="20">
      <c r="A20" s="4" t="inlineStr">
        <is>
          <t>營業費用</t>
        </is>
      </c>
    </row>
    <row r="21">
      <c r="A21" s="19" t="inlineStr">
        <is>
          <t xml:space="preserve">  銷售與行銷 — 人事費用</t>
        </is>
      </c>
      <c r="B21" s="20" t="n">
        <v>3500</v>
      </c>
      <c r="C21" s="20" t="n">
        <v>4500</v>
      </c>
      <c r="D21" s="20" t="n">
        <v>5500</v>
      </c>
      <c r="E21" s="20" t="n">
        <v>7500</v>
      </c>
      <c r="F21" s="20" t="n">
        <v>9500</v>
      </c>
      <c r="G21" s="20" t="n">
        <v>11500</v>
      </c>
      <c r="H21" s="20" t="n">
        <v>13500</v>
      </c>
      <c r="I21" s="20" t="n">
        <v>15000</v>
      </c>
      <c r="J21" s="20" t="n">
        <v>16500</v>
      </c>
    </row>
    <row r="22">
      <c r="A22" s="19" t="inlineStr">
        <is>
          <t xml:space="preserve">  銷售與行銷 — 廣告與促銷（Temu 主力）</t>
        </is>
      </c>
      <c r="B22" s="20" t="n">
        <v>27408</v>
      </c>
      <c r="C22" s="20" t="n">
        <v>47894</v>
      </c>
      <c r="D22" s="20" t="n">
        <v>70189</v>
      </c>
      <c r="E22" s="20" t="n">
        <v>95250</v>
      </c>
      <c r="F22" s="20" t="n">
        <v>113000</v>
      </c>
      <c r="G22" s="20" t="n">
        <v>130500</v>
      </c>
      <c r="H22" s="20" t="n">
        <v>146500</v>
      </c>
      <c r="I22" s="20" t="n">
        <v>159000</v>
      </c>
      <c r="J22" s="20" t="n">
        <v>169000</v>
      </c>
    </row>
    <row r="23">
      <c r="A23" s="19" t="inlineStr">
        <is>
          <t xml:space="preserve">  銷售與行銷 — 其他（補貼/優惠券）</t>
        </is>
      </c>
      <c r="B23" s="20" t="n">
        <v>2500</v>
      </c>
      <c r="C23" s="20" t="n">
        <v>2000</v>
      </c>
      <c r="D23" s="20" t="n">
        <v>6500</v>
      </c>
      <c r="E23" s="20" t="n">
        <v>7000</v>
      </c>
      <c r="F23" s="20" t="n">
        <v>8500</v>
      </c>
      <c r="G23" s="20" t="n">
        <v>10000</v>
      </c>
      <c r="H23" s="20" t="n">
        <v>11500</v>
      </c>
      <c r="I23" s="20" t="n">
        <v>12500</v>
      </c>
      <c r="J23" s="20" t="n">
        <v>13500</v>
      </c>
    </row>
    <row r="24">
      <c r="A24" s="21" t="inlineStr">
        <is>
          <t>銷售與行銷費用合計</t>
        </is>
      </c>
      <c r="B24" s="22">
        <f>SUM(B21:B23)</f>
        <v/>
      </c>
      <c r="C24" s="22">
        <f>SUM(C21:C23)</f>
        <v/>
      </c>
      <c r="D24" s="22">
        <f>SUM(D21:D23)</f>
        <v/>
      </c>
      <c r="E24" s="22">
        <f>SUM(E21:E23)</f>
        <v/>
      </c>
      <c r="F24" s="22">
        <f>SUM(F21:F23)</f>
        <v/>
      </c>
      <c r="G24" s="22">
        <f>SUM(G21:G23)</f>
        <v/>
      </c>
      <c r="H24" s="22">
        <f>SUM(H21:H23)</f>
        <v/>
      </c>
      <c r="I24" s="22">
        <f>SUM(I21:I23)</f>
        <v/>
      </c>
      <c r="J24" s="22">
        <f>SUM(J21:J23)</f>
        <v/>
      </c>
    </row>
    <row r="25">
      <c r="A25" s="19" t="inlineStr">
        <is>
          <t xml:space="preserve">  S&amp;M 佔收入比例 %</t>
        </is>
      </c>
      <c r="B25" s="26">
        <f>B24/B6</f>
        <v/>
      </c>
      <c r="C25" s="26">
        <f>C24/C6</f>
        <v/>
      </c>
      <c r="D25" s="26">
        <f>D24/D6</f>
        <v/>
      </c>
      <c r="E25" s="26">
        <f>E24/E6</f>
        <v/>
      </c>
      <c r="F25" s="26">
        <f>F24/F6</f>
        <v/>
      </c>
      <c r="G25" s="26">
        <f>G24/G6</f>
        <v/>
      </c>
      <c r="H25" s="26">
        <f>H24/H6</f>
        <v/>
      </c>
      <c r="I25" s="26">
        <f>I24/I6</f>
        <v/>
      </c>
      <c r="J25" s="26">
        <f>J24/J6</f>
        <v/>
      </c>
    </row>
    <row r="27">
      <c r="A27" s="19" t="inlineStr">
        <is>
          <t xml:space="preserve">  研發 — 人事費用</t>
        </is>
      </c>
      <c r="B27" s="20" t="n">
        <v>7993</v>
      </c>
      <c r="C27" s="20" t="n">
        <v>8886</v>
      </c>
      <c r="D27" s="20" t="n">
        <v>8955</v>
      </c>
      <c r="E27" s="20" t="n">
        <v>11250</v>
      </c>
      <c r="F27" s="20" t="n">
        <v>13500</v>
      </c>
      <c r="G27" s="20" t="n">
        <v>16000</v>
      </c>
      <c r="H27" s="20" t="n">
        <v>18500</v>
      </c>
      <c r="I27" s="20" t="n">
        <v>20500</v>
      </c>
      <c r="J27" s="20" t="n">
        <v>22500</v>
      </c>
    </row>
    <row r="28">
      <c r="A28" s="19" t="inlineStr">
        <is>
          <t xml:space="preserve">  研發 — 其他費用</t>
        </is>
      </c>
      <c r="B28" s="20" t="n">
        <v>1000</v>
      </c>
      <c r="C28" s="20" t="n">
        <v>1500</v>
      </c>
      <c r="D28" s="20" t="n">
        <v>2000</v>
      </c>
      <c r="E28" s="20" t="n">
        <v>2500</v>
      </c>
      <c r="F28" s="20" t="n">
        <v>3000</v>
      </c>
      <c r="G28" s="20" t="n">
        <v>3500</v>
      </c>
      <c r="H28" s="20" t="n">
        <v>4000</v>
      </c>
      <c r="I28" s="20" t="n">
        <v>4500</v>
      </c>
      <c r="J28" s="20" t="n">
        <v>5000</v>
      </c>
    </row>
    <row r="29">
      <c r="A29" s="21" t="inlineStr">
        <is>
          <t>研發費用合計</t>
        </is>
      </c>
      <c r="B29" s="22">
        <f>SUM(B27:B28)</f>
        <v/>
      </c>
      <c r="C29" s="22">
        <f>SUM(C27:C28)</f>
        <v/>
      </c>
      <c r="D29" s="22">
        <f>SUM(D27:D28)</f>
        <v/>
      </c>
      <c r="E29" s="22">
        <f>SUM(E27:E28)</f>
        <v/>
      </c>
      <c r="F29" s="22">
        <f>SUM(F27:F28)</f>
        <v/>
      </c>
      <c r="G29" s="22">
        <f>SUM(G27:G28)</f>
        <v/>
      </c>
      <c r="H29" s="22">
        <f>SUM(H27:H28)</f>
        <v/>
      </c>
      <c r="I29" s="22">
        <f>SUM(I27:I28)</f>
        <v/>
      </c>
      <c r="J29" s="22">
        <f>SUM(J27:J28)</f>
        <v/>
      </c>
    </row>
    <row r="30">
      <c r="A30" s="19" t="inlineStr">
        <is>
          <t xml:space="preserve">  R&amp;D 佔收入比例 %</t>
        </is>
      </c>
      <c r="B30" s="26">
        <f>B29/B6</f>
        <v/>
      </c>
      <c r="C30" s="26">
        <f>C29/C6</f>
        <v/>
      </c>
      <c r="D30" s="26">
        <f>D29/D6</f>
        <v/>
      </c>
      <c r="E30" s="26">
        <f>E29/E6</f>
        <v/>
      </c>
      <c r="F30" s="26">
        <f>F29/F6</f>
        <v/>
      </c>
      <c r="G30" s="26">
        <f>G29/G6</f>
        <v/>
      </c>
      <c r="H30" s="26">
        <f>H29/H6</f>
        <v/>
      </c>
      <c r="I30" s="26">
        <f>I29/I6</f>
        <v/>
      </c>
      <c r="J30" s="26">
        <f>J29/J6</f>
        <v/>
      </c>
    </row>
    <row r="32">
      <c r="A32" s="19" t="inlineStr">
        <is>
          <t xml:space="preserve">  管理費用 — 人事</t>
        </is>
      </c>
      <c r="B32" s="20" t="n">
        <v>1200</v>
      </c>
      <c r="C32" s="20" t="n">
        <v>1800</v>
      </c>
      <c r="D32" s="20" t="n">
        <v>2300</v>
      </c>
      <c r="E32" s="20" t="n">
        <v>3000</v>
      </c>
      <c r="F32" s="20" t="n">
        <v>3800</v>
      </c>
      <c r="G32" s="20" t="n">
        <v>4700</v>
      </c>
      <c r="H32" s="20" t="n">
        <v>5500</v>
      </c>
      <c r="I32" s="20" t="n">
        <v>6200</v>
      </c>
      <c r="J32" s="20" t="n">
        <v>6800</v>
      </c>
    </row>
    <row r="33">
      <c r="A33" s="19" t="inlineStr">
        <is>
          <t xml:space="preserve">  管理費用 — 其他</t>
        </is>
      </c>
      <c r="B33" s="20" t="n">
        <v>344</v>
      </c>
      <c r="C33" s="20" t="n">
        <v>679</v>
      </c>
      <c r="D33" s="20" t="n">
        <v>766</v>
      </c>
      <c r="E33" s="20" t="n">
        <v>1150</v>
      </c>
      <c r="F33" s="20" t="n">
        <v>1500</v>
      </c>
      <c r="G33" s="20" t="n">
        <v>1900</v>
      </c>
      <c r="H33" s="20" t="n">
        <v>2300</v>
      </c>
      <c r="I33" s="20" t="n">
        <v>2600</v>
      </c>
      <c r="J33" s="20" t="n">
        <v>2900</v>
      </c>
    </row>
    <row r="34">
      <c r="A34" s="21" t="inlineStr">
        <is>
          <t>管理費用合計</t>
        </is>
      </c>
      <c r="B34" s="22">
        <f>SUM(B32:B33)</f>
        <v/>
      </c>
      <c r="C34" s="22">
        <f>SUM(C32:C33)</f>
        <v/>
      </c>
      <c r="D34" s="22">
        <f>SUM(D32:D33)</f>
        <v/>
      </c>
      <c r="E34" s="22">
        <f>SUM(E32:E33)</f>
        <v/>
      </c>
      <c r="F34" s="22">
        <f>SUM(F32:F33)</f>
        <v/>
      </c>
      <c r="G34" s="22">
        <f>SUM(G32:G33)</f>
        <v/>
      </c>
      <c r="H34" s="22">
        <f>SUM(H32:H33)</f>
        <v/>
      </c>
      <c r="I34" s="22">
        <f>SUM(I32:I33)</f>
        <v/>
      </c>
      <c r="J34" s="22">
        <f>SUM(J32:J33)</f>
        <v/>
      </c>
    </row>
    <row r="35">
      <c r="A35" s="19" t="inlineStr">
        <is>
          <t xml:space="preserve">  G&amp;A 佔收入比例 %</t>
        </is>
      </c>
      <c r="B35" s="26">
        <f>B34/B6</f>
        <v/>
      </c>
      <c r="C35" s="26">
        <f>C34/C6</f>
        <v/>
      </c>
      <c r="D35" s="26">
        <f>D34/D6</f>
        <v/>
      </c>
      <c r="E35" s="26">
        <f>E34/E6</f>
        <v/>
      </c>
      <c r="F35" s="26">
        <f>F34/F6</f>
        <v/>
      </c>
      <c r="G35" s="26">
        <f>G34/G6</f>
        <v/>
      </c>
      <c r="H35" s="26">
        <f>H34/H6</f>
        <v/>
      </c>
      <c r="I35" s="26">
        <f>I34/I6</f>
        <v/>
      </c>
      <c r="J35" s="26">
        <f>J34/J6</f>
        <v/>
      </c>
    </row>
    <row r="36">
      <c r="A36" s="29" t="inlineStr">
        <is>
          <t>折舊與攤銷</t>
        </is>
      </c>
      <c r="B36" s="20" t="n">
        <v>600</v>
      </c>
      <c r="C36" s="20" t="n">
        <v>800</v>
      </c>
      <c r="D36" s="20" t="n">
        <v>1200</v>
      </c>
      <c r="E36" s="20" t="n">
        <v>1650</v>
      </c>
      <c r="F36" s="20" t="n">
        <v>2100</v>
      </c>
      <c r="G36" s="20" t="n">
        <v>2600</v>
      </c>
      <c r="H36" s="20" t="n">
        <v>3200</v>
      </c>
      <c r="I36" s="20" t="n">
        <v>3800</v>
      </c>
      <c r="J36" s="20" t="n">
        <v>4400</v>
      </c>
    </row>
    <row r="38">
      <c r="A38" s="21" t="inlineStr">
        <is>
          <t>營業費用合計</t>
        </is>
      </c>
      <c r="B38" s="22">
        <f>B24+B29+B34+B36</f>
        <v/>
      </c>
      <c r="C38" s="22">
        <f>C24+C29+C34+C36</f>
        <v/>
      </c>
      <c r="D38" s="22">
        <f>D24+D29+D34+D36</f>
        <v/>
      </c>
      <c r="E38" s="22">
        <f>E24+E29+E34+E36</f>
        <v/>
      </c>
      <c r="F38" s="22">
        <f>F24+F29+F34+F36</f>
        <v/>
      </c>
      <c r="G38" s="22">
        <f>G24+G29+G34+G36</f>
        <v/>
      </c>
      <c r="H38" s="22">
        <f>H24+H29+H34+H36</f>
        <v/>
      </c>
      <c r="I38" s="22">
        <f>I24+I29+I34+I36</f>
        <v/>
      </c>
      <c r="J38" s="22">
        <f>J24+J29+J34+J36</f>
        <v/>
      </c>
    </row>
    <row r="39">
      <c r="A39" s="19" t="inlineStr">
        <is>
          <t xml:space="preserve">  營業費用佔收入比例 %</t>
        </is>
      </c>
      <c r="B39" s="26">
        <f>B38/B6</f>
        <v/>
      </c>
      <c r="C39" s="26">
        <f>C38/C6</f>
        <v/>
      </c>
      <c r="D39" s="26">
        <f>D38/D6</f>
        <v/>
      </c>
      <c r="E39" s="26">
        <f>E38/E6</f>
        <v/>
      </c>
      <c r="F39" s="26">
        <f>F38/F6</f>
        <v/>
      </c>
      <c r="G39" s="26">
        <f>G38/G6</f>
        <v/>
      </c>
      <c r="H39" s="26">
        <f>H38/H6</f>
        <v/>
      </c>
      <c r="I39" s="26">
        <f>I38/I6</f>
        <v/>
      </c>
      <c r="J39" s="26">
        <f>J38/J6</f>
        <v/>
      </c>
    </row>
    <row r="41">
      <c r="A41" s="21" t="inlineStr">
        <is>
          <t>EBITDA</t>
        </is>
      </c>
      <c r="B41" s="22">
        <f>B17-B24-B29-B34</f>
        <v/>
      </c>
      <c r="C41" s="22">
        <f>C17-C24-C29-C34</f>
        <v/>
      </c>
      <c r="D41" s="22">
        <f>D17-D24-D29-D34</f>
        <v/>
      </c>
      <c r="E41" s="22">
        <f>E17-E24-E29-E34</f>
        <v/>
      </c>
      <c r="F41" s="22">
        <f>F17-F24-F29-F34</f>
        <v/>
      </c>
      <c r="G41" s="22">
        <f>G17-G24-G29-G34</f>
        <v/>
      </c>
      <c r="H41" s="22">
        <f>H17-H24-H29-H34</f>
        <v/>
      </c>
      <c r="I41" s="22">
        <f>I17-I24-I29-I34</f>
        <v/>
      </c>
      <c r="J41" s="22">
        <f>J17-J24-J29-J34</f>
        <v/>
      </c>
    </row>
    <row r="42">
      <c r="A42" s="19" t="inlineStr">
        <is>
          <t xml:space="preserve">  EBITDA 利潤率 %</t>
        </is>
      </c>
      <c r="B42" s="26">
        <f>B41/B6</f>
        <v/>
      </c>
      <c r="C42" s="26">
        <f>C41/C6</f>
        <v/>
      </c>
      <c r="D42" s="26">
        <f>D41/D6</f>
        <v/>
      </c>
      <c r="E42" s="26">
        <f>E41/E6</f>
        <v/>
      </c>
      <c r="F42" s="26">
        <f>F41/F6</f>
        <v/>
      </c>
      <c r="G42" s="26">
        <f>G41/G6</f>
        <v/>
      </c>
      <c r="H42" s="26">
        <f>H41/H6</f>
        <v/>
      </c>
      <c r="I42" s="26">
        <f>I41/I6</f>
        <v/>
      </c>
      <c r="J42" s="26">
        <f>J41/J6</f>
        <v/>
      </c>
    </row>
    <row r="44">
      <c r="A44" s="21" t="inlineStr">
        <is>
          <t>EBIT / 營業利潤</t>
        </is>
      </c>
      <c r="B44" s="22">
        <f>B41-B36</f>
        <v/>
      </c>
      <c r="C44" s="22">
        <f>C41-C36</f>
        <v/>
      </c>
      <c r="D44" s="22">
        <f>D41-D36</f>
        <v/>
      </c>
      <c r="E44" s="22">
        <f>E41-E36</f>
        <v/>
      </c>
      <c r="F44" s="22">
        <f>F41-F36</f>
        <v/>
      </c>
      <c r="G44" s="22">
        <f>G41-G36</f>
        <v/>
      </c>
      <c r="H44" s="22">
        <f>H41-H36</f>
        <v/>
      </c>
      <c r="I44" s="22">
        <f>I41-I36</f>
        <v/>
      </c>
      <c r="J44" s="22">
        <f>J41-J36</f>
        <v/>
      </c>
    </row>
    <row r="45">
      <c r="A45" s="19" t="inlineStr">
        <is>
          <t xml:space="preserve">  EBIT 利潤率 %</t>
        </is>
      </c>
      <c r="B45" s="26">
        <f>B44/B6</f>
        <v/>
      </c>
      <c r="C45" s="26">
        <f>C44/C6</f>
        <v/>
      </c>
      <c r="D45" s="26">
        <f>D44/D6</f>
        <v/>
      </c>
      <c r="E45" s="26">
        <f>E44/E6</f>
        <v/>
      </c>
      <c r="F45" s="26">
        <f>F44/F6</f>
        <v/>
      </c>
      <c r="G45" s="26">
        <f>G44/G6</f>
        <v/>
      </c>
      <c r="H45" s="26">
        <f>H44/H6</f>
        <v/>
      </c>
      <c r="I45" s="26">
        <f>I44/I6</f>
        <v/>
      </c>
      <c r="J45" s="26">
        <f>J44/J6</f>
        <v/>
      </c>
    </row>
    <row r="47">
      <c r="A47" s="4" t="inlineStr">
        <is>
          <t>營業外項目</t>
        </is>
      </c>
    </row>
    <row r="48">
      <c r="A48" s="29" t="inlineStr">
        <is>
          <t>利息收入（大額現金部位）</t>
        </is>
      </c>
      <c r="B48" s="20" t="n">
        <v>1200</v>
      </c>
      <c r="C48" s="20" t="n">
        <v>4500</v>
      </c>
      <c r="D48" s="20" t="n">
        <v>8500</v>
      </c>
      <c r="E48" s="20" t="n">
        <v>13500</v>
      </c>
      <c r="F48" s="20" t="n">
        <v>16500</v>
      </c>
      <c r="G48" s="20" t="n">
        <v>19500</v>
      </c>
      <c r="H48" s="20" t="n">
        <v>22500</v>
      </c>
      <c r="I48" s="20" t="n">
        <v>25500</v>
      </c>
      <c r="J48" s="20" t="n">
        <v>28500</v>
      </c>
    </row>
    <row r="49">
      <c r="A49" s="29" t="inlineStr">
        <is>
          <t>利息費用</t>
        </is>
      </c>
      <c r="B49" s="20" t="n">
        <v>-100</v>
      </c>
      <c r="C49" s="20" t="n">
        <v>-150</v>
      </c>
      <c r="D49" s="20" t="n">
        <v>-200</v>
      </c>
      <c r="E49" s="20" t="n">
        <v>-350</v>
      </c>
      <c r="F49" s="20" t="n">
        <v>-500</v>
      </c>
      <c r="G49" s="20" t="n">
        <v>-650</v>
      </c>
      <c r="H49" s="20" t="n">
        <v>-800</v>
      </c>
      <c r="I49" s="20" t="n">
        <v>-950</v>
      </c>
      <c r="J49" s="20" t="n">
        <v>-1100</v>
      </c>
    </row>
    <row r="50">
      <c r="A50" s="29" t="inlineStr">
        <is>
          <t>其他收入 / （費用），淨額</t>
        </is>
      </c>
      <c r="B50" s="20" t="n">
        <v>-2300</v>
      </c>
      <c r="C50" s="20" t="n">
        <v>-100</v>
      </c>
      <c r="D50" s="20" t="n">
        <v>600</v>
      </c>
      <c r="E50" s="20" t="n">
        <v>2500</v>
      </c>
      <c r="F50" s="20" t="n">
        <v>1500</v>
      </c>
      <c r="G50" s="20" t="n">
        <v>1800</v>
      </c>
      <c r="H50" s="20" t="n">
        <v>2000</v>
      </c>
      <c r="I50" s="20" t="n">
        <v>2200</v>
      </c>
      <c r="J50" s="20" t="n">
        <v>2500</v>
      </c>
    </row>
    <row r="51">
      <c r="A51" s="21" t="inlineStr">
        <is>
          <t>營業外項目合計</t>
        </is>
      </c>
      <c r="B51" s="22">
        <f>B48+B49+B50</f>
        <v/>
      </c>
      <c r="C51" s="22">
        <f>C48+C49+C50</f>
        <v/>
      </c>
      <c r="D51" s="22">
        <f>D48+D49+D50</f>
        <v/>
      </c>
      <c r="E51" s="22">
        <f>E48+E49+E50</f>
        <v/>
      </c>
      <c r="F51" s="22">
        <f>F48+F49+F50</f>
        <v/>
      </c>
      <c r="G51" s="22">
        <f>G48+G49+G50</f>
        <v/>
      </c>
      <c r="H51" s="22">
        <f>H48+H49+H50</f>
        <v/>
      </c>
      <c r="I51" s="22">
        <f>I48+I49+I50</f>
        <v/>
      </c>
      <c r="J51" s="22">
        <f>J48+J49+J50</f>
        <v/>
      </c>
    </row>
    <row r="53">
      <c r="A53" s="21" t="inlineStr">
        <is>
          <t>稅前利潤</t>
        </is>
      </c>
      <c r="B53" s="22">
        <f>B44+B51</f>
        <v/>
      </c>
      <c r="C53" s="22">
        <f>C44+C51</f>
        <v/>
      </c>
      <c r="D53" s="22">
        <f>D44+D51</f>
        <v/>
      </c>
      <c r="E53" s="22">
        <f>E44+E51</f>
        <v/>
      </c>
      <c r="F53" s="22">
        <f>F44+F51</f>
        <v/>
      </c>
      <c r="G53" s="22">
        <f>G44+G51</f>
        <v/>
      </c>
      <c r="H53" s="22">
        <f>H44+H51</f>
        <v/>
      </c>
      <c r="I53" s="22">
        <f>I44+I51</f>
        <v/>
      </c>
      <c r="J53" s="22">
        <f>J44+J51</f>
        <v/>
      </c>
    </row>
    <row r="54">
      <c r="A54" s="29" t="inlineStr">
        <is>
          <t>所得稅費用</t>
        </is>
      </c>
      <c r="B54" s="20" t="n">
        <v>-1002</v>
      </c>
      <c r="C54" s="20" t="n">
        <v>-1641</v>
      </c>
      <c r="D54" s="20" t="n">
        <v>-3940</v>
      </c>
      <c r="E54" s="20" t="n">
        <v>-13750</v>
      </c>
      <c r="F54" s="20" t="n">
        <v>-16500</v>
      </c>
      <c r="G54" s="20" t="n">
        <v>-19500</v>
      </c>
      <c r="H54" s="20" t="n">
        <v>-22500</v>
      </c>
      <c r="I54" s="20" t="n">
        <v>-25000</v>
      </c>
      <c r="J54" s="20" t="n">
        <v>-27500</v>
      </c>
    </row>
    <row r="55">
      <c r="A55" s="19" t="inlineStr">
        <is>
          <t xml:space="preserve">  實際稅率 %</t>
        </is>
      </c>
      <c r="B55" s="26">
        <f>-B54/B53</f>
        <v/>
      </c>
      <c r="C55" s="26">
        <f>-C54/C53</f>
        <v/>
      </c>
      <c r="D55" s="26">
        <f>-D54/D53</f>
        <v/>
      </c>
      <c r="E55" s="26">
        <f>-E54/E53</f>
        <v/>
      </c>
      <c r="F55" s="26">
        <f>-F54/F53</f>
        <v/>
      </c>
      <c r="G55" s="26">
        <f>-G54/G53</f>
        <v/>
      </c>
      <c r="H55" s="26">
        <f>-H54/H53</f>
        <v/>
      </c>
      <c r="I55" s="26">
        <f>-I54/I53</f>
        <v/>
      </c>
      <c r="J55" s="26">
        <f>-J54/J53</f>
        <v/>
      </c>
    </row>
    <row r="57">
      <c r="A57" s="21" t="inlineStr">
        <is>
          <t>淨利潤（GAAP）</t>
        </is>
      </c>
      <c r="B57" s="22">
        <f>B53+B54</f>
        <v/>
      </c>
      <c r="C57" s="22">
        <f>C53+C54</f>
        <v/>
      </c>
      <c r="D57" s="22">
        <f>D53+D54</f>
        <v/>
      </c>
      <c r="E57" s="22">
        <f>E53+E54</f>
        <v/>
      </c>
      <c r="F57" s="22">
        <f>F53+F54</f>
        <v/>
      </c>
      <c r="G57" s="22">
        <f>G53+G54</f>
        <v/>
      </c>
      <c r="H57" s="22">
        <f>H53+H54</f>
        <v/>
      </c>
      <c r="I57" s="22">
        <f>I53+I54</f>
        <v/>
      </c>
      <c r="J57" s="22">
        <f>J53+J54</f>
        <v/>
      </c>
    </row>
    <row r="58">
      <c r="A58" s="19" t="inlineStr">
        <is>
          <t xml:space="preserve">  淨利率 %</t>
        </is>
      </c>
      <c r="B58" s="26">
        <f>B57/B6</f>
        <v/>
      </c>
      <c r="C58" s="26">
        <f>C57/C6</f>
        <v/>
      </c>
      <c r="D58" s="26">
        <f>D57/D6</f>
        <v/>
      </c>
      <c r="E58" s="26">
        <f>E57/E6</f>
        <v/>
      </c>
      <c r="F58" s="26">
        <f>F57/F6</f>
        <v/>
      </c>
      <c r="G58" s="26">
        <f>G57/G6</f>
        <v/>
      </c>
      <c r="H58" s="26">
        <f>H57/H6</f>
        <v/>
      </c>
      <c r="I58" s="26">
        <f>I57/I6</f>
        <v/>
      </c>
      <c r="J58" s="26">
        <f>J57/J6</f>
        <v/>
      </c>
    </row>
    <row r="60">
      <c r="A60" s="19" t="inlineStr">
        <is>
          <t xml:space="preserve">  加：股權激勵費用（SBC）</t>
        </is>
      </c>
      <c r="B60" s="20" t="n">
        <v>4500</v>
      </c>
      <c r="C60" s="20" t="n">
        <v>5500</v>
      </c>
      <c r="D60" s="20" t="n">
        <v>7500</v>
      </c>
      <c r="E60" s="20" t="n">
        <v>9500</v>
      </c>
      <c r="F60" s="20" t="n">
        <v>11500</v>
      </c>
      <c r="G60" s="20" t="n">
        <v>13500</v>
      </c>
      <c r="H60" s="20" t="n">
        <v>15500</v>
      </c>
      <c r="I60" s="20" t="n">
        <v>17000</v>
      </c>
      <c r="J60" s="20" t="n">
        <v>18500</v>
      </c>
    </row>
    <row r="61">
      <c r="A61" s="21" t="inlineStr">
        <is>
          <t>淨利潤（Non-GAAP）</t>
        </is>
      </c>
      <c r="B61" s="22">
        <f>B57+B60</f>
        <v/>
      </c>
      <c r="C61" s="22">
        <f>C57+C60</f>
        <v/>
      </c>
      <c r="D61" s="22">
        <f>D57+D60</f>
        <v/>
      </c>
      <c r="E61" s="22">
        <f>E57+E60</f>
        <v/>
      </c>
      <c r="F61" s="22">
        <f>F57+F60</f>
        <v/>
      </c>
      <c r="G61" s="22">
        <f>G57+G60</f>
        <v/>
      </c>
      <c r="H61" s="22">
        <f>H57+H60</f>
        <v/>
      </c>
      <c r="I61" s="22">
        <f>I57+I60</f>
        <v/>
      </c>
      <c r="J61" s="22">
        <f>J57+J60</f>
        <v/>
      </c>
    </row>
    <row r="62">
      <c r="A62" s="19" t="inlineStr">
        <is>
          <t xml:space="preserve">  Non-GAAP 淨利率 %</t>
        </is>
      </c>
      <c r="B62" s="26">
        <f>B61/B6</f>
        <v/>
      </c>
      <c r="C62" s="26">
        <f>C61/C6</f>
        <v/>
      </c>
      <c r="D62" s="26">
        <f>D61/D6</f>
        <v/>
      </c>
      <c r="E62" s="26">
        <f>E61/E6</f>
        <v/>
      </c>
      <c r="F62" s="26">
        <f>F61/F6</f>
        <v/>
      </c>
      <c r="G62" s="26">
        <f>G61/G6</f>
        <v/>
      </c>
      <c r="H62" s="26">
        <f>H61/H6</f>
        <v/>
      </c>
      <c r="I62" s="26">
        <f>I61/I6</f>
        <v/>
      </c>
      <c r="J62" s="26">
        <f>J61/J6</f>
        <v/>
      </c>
    </row>
    <row r="64">
      <c r="A64" s="4" t="inlineStr">
        <is>
          <t>股數與每股盈餘</t>
        </is>
      </c>
    </row>
    <row r="65">
      <c r="A65" s="29" t="inlineStr">
        <is>
          <t>稀釋後流通股數（百萬股，ADS 當量）</t>
        </is>
      </c>
      <c r="B65" s="20" t="n">
        <v>1280</v>
      </c>
      <c r="C65" s="20" t="n">
        <v>1318</v>
      </c>
      <c r="D65" s="20" t="n">
        <v>1385</v>
      </c>
      <c r="E65" s="20" t="n">
        <v>1450</v>
      </c>
      <c r="F65" s="20" t="n">
        <v>1470</v>
      </c>
      <c r="G65" s="20" t="n">
        <v>1485</v>
      </c>
      <c r="H65" s="20" t="n">
        <v>1495</v>
      </c>
      <c r="I65" s="20" t="n">
        <v>1500</v>
      </c>
      <c r="J65" s="20" t="n">
        <v>1500</v>
      </c>
    </row>
    <row r="66">
      <c r="A66" s="29" t="inlineStr">
        <is>
          <t>GAAP EPS（人民幣 / ADS）</t>
        </is>
      </c>
      <c r="B66" s="30">
        <f>B57/B65</f>
        <v/>
      </c>
      <c r="C66" s="30">
        <f>C57/C65</f>
        <v/>
      </c>
      <c r="D66" s="30">
        <f>D57/D65</f>
        <v/>
      </c>
      <c r="E66" s="30">
        <f>E57/E65</f>
        <v/>
      </c>
      <c r="F66" s="30">
        <f>F57/F65</f>
        <v/>
      </c>
      <c r="G66" s="30">
        <f>G57/G65</f>
        <v/>
      </c>
      <c r="H66" s="30">
        <f>H57/H65</f>
        <v/>
      </c>
      <c r="I66" s="30">
        <f>I57/I65</f>
        <v/>
      </c>
      <c r="J66" s="30">
        <f>J57/J65</f>
        <v/>
      </c>
    </row>
    <row r="67">
      <c r="A67" s="29" t="inlineStr">
        <is>
          <t>Non-GAAP EPS（人民幣 / ADS）</t>
        </is>
      </c>
      <c r="B67" s="30">
        <f>B61/B65</f>
        <v/>
      </c>
      <c r="C67" s="30">
        <f>C61/C65</f>
        <v/>
      </c>
      <c r="D67" s="30">
        <f>D61/D65</f>
        <v/>
      </c>
      <c r="E67" s="30">
        <f>E61/E65</f>
        <v/>
      </c>
      <c r="F67" s="30">
        <f>F61/F65</f>
        <v/>
      </c>
      <c r="G67" s="30">
        <f>G61/G65</f>
        <v/>
      </c>
      <c r="H67" s="30">
        <f>H61/H65</f>
        <v/>
      </c>
      <c r="I67" s="30">
        <f>I61/I65</f>
        <v/>
      </c>
      <c r="J67" s="30">
        <f>J61/J65</f>
        <v/>
      </c>
    </row>
    <row r="68">
      <c r="A68" s="29" t="inlineStr">
        <is>
          <t>Non-GAAP EPS（美元 / ADS）</t>
        </is>
      </c>
      <c r="B68" s="31">
        <f>B67/封面與假設!B6</f>
        <v/>
      </c>
      <c r="C68" s="31">
        <f>C67/封面與假設!B6</f>
        <v/>
      </c>
      <c r="D68" s="31">
        <f>D67/封面與假設!B6</f>
        <v/>
      </c>
      <c r="E68" s="31">
        <f>E67/封面與假設!B6</f>
        <v/>
      </c>
      <c r="F68" s="31">
        <f>F67/封面與假設!B6</f>
        <v/>
      </c>
      <c r="G68" s="31">
        <f>G67/封面與假設!B6</f>
        <v/>
      </c>
      <c r="H68" s="31">
        <f>H67/封面與假設!B6</f>
        <v/>
      </c>
      <c r="I68" s="31">
        <f>I67/封面與假設!B6</f>
        <v/>
      </c>
      <c r="J68" s="31">
        <f>J67/封面與假設!B6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PDD Holdings — 現金流量表（人民幣百萬元）</t>
        </is>
      </c>
    </row>
    <row r="2">
      <c r="A2" s="3" t="inlineStr">
        <is>
          <t>間接法，由淨利潤起算</t>
        </is>
      </c>
    </row>
    <row r="4">
      <c r="A4" s="15" t="inlineStr"/>
      <c r="B4" s="16" t="inlineStr">
        <is>
          <t>2021A</t>
        </is>
      </c>
      <c r="C4" s="16" t="inlineStr">
        <is>
          <t>2022A</t>
        </is>
      </c>
      <c r="D4" s="16" t="inlineStr">
        <is>
          <t>2023A</t>
        </is>
      </c>
      <c r="E4" s="16" t="inlineStr">
        <is>
          <t>2024A</t>
        </is>
      </c>
      <c r="F4" s="16" t="inlineStr">
        <is>
          <t>2025E</t>
        </is>
      </c>
      <c r="G4" s="16" t="inlineStr">
        <is>
          <t>2026E</t>
        </is>
      </c>
      <c r="H4" s="16" t="inlineStr">
        <is>
          <t>2027E</t>
        </is>
      </c>
      <c r="I4" s="16" t="inlineStr">
        <is>
          <t>2028E</t>
        </is>
      </c>
      <c r="J4" s="16" t="inlineStr">
        <is>
          <t>2029E</t>
        </is>
      </c>
    </row>
    <row r="5">
      <c r="A5" s="4" t="inlineStr">
        <is>
          <t>營業活動</t>
        </is>
      </c>
    </row>
    <row r="6">
      <c r="A6" s="32" t="inlineStr">
        <is>
          <t>淨利潤（GAAP）</t>
        </is>
      </c>
      <c r="B6" s="33">
        <f>損益表!B57</f>
        <v/>
      </c>
      <c r="C6" s="33">
        <f>損益表!C57</f>
        <v/>
      </c>
      <c r="D6" s="33">
        <f>損益表!D57</f>
        <v/>
      </c>
      <c r="E6" s="33">
        <f>損益表!E57</f>
        <v/>
      </c>
      <c r="F6" s="33">
        <f>損益表!F57</f>
        <v/>
      </c>
      <c r="G6" s="33">
        <f>損益表!G57</f>
        <v/>
      </c>
      <c r="H6" s="33">
        <f>損益表!H57</f>
        <v/>
      </c>
      <c r="I6" s="33">
        <f>損益表!I57</f>
        <v/>
      </c>
      <c r="J6" s="33">
        <f>損益表!J57</f>
        <v/>
      </c>
    </row>
    <row r="7">
      <c r="A7" s="32" t="inlineStr">
        <is>
          <t>加：折舊與攤銷</t>
        </is>
      </c>
      <c r="B7" s="33">
        <f>損益表!B36</f>
        <v/>
      </c>
      <c r="C7" s="33">
        <f>損益表!C36</f>
        <v/>
      </c>
      <c r="D7" s="33">
        <f>損益表!D36</f>
        <v/>
      </c>
      <c r="E7" s="33">
        <f>損益表!E36</f>
        <v/>
      </c>
      <c r="F7" s="33">
        <f>損益表!F36</f>
        <v/>
      </c>
      <c r="G7" s="33">
        <f>損益表!G36</f>
        <v/>
      </c>
      <c r="H7" s="33">
        <f>損益表!H36</f>
        <v/>
      </c>
      <c r="I7" s="33">
        <f>損益表!I36</f>
        <v/>
      </c>
      <c r="J7" s="33">
        <f>損益表!J36</f>
        <v/>
      </c>
    </row>
    <row r="8">
      <c r="A8" s="32" t="inlineStr">
        <is>
          <t>加：股權激勵費用（SBC）</t>
        </is>
      </c>
      <c r="B8" s="33">
        <f>損益表!B60</f>
        <v/>
      </c>
      <c r="C8" s="33">
        <f>損益表!C60</f>
        <v/>
      </c>
      <c r="D8" s="33">
        <f>損益表!D60</f>
        <v/>
      </c>
      <c r="E8" s="33">
        <f>損益表!E60</f>
        <v/>
      </c>
      <c r="F8" s="33">
        <f>損益表!F60</f>
        <v/>
      </c>
      <c r="G8" s="33">
        <f>損益表!G60</f>
        <v/>
      </c>
      <c r="H8" s="33">
        <f>損益表!H60</f>
        <v/>
      </c>
      <c r="I8" s="33">
        <f>損益表!I60</f>
        <v/>
      </c>
      <c r="J8" s="33">
        <f>損益表!J60</f>
        <v/>
      </c>
    </row>
    <row r="9">
      <c r="A9" s="29" t="inlineStr">
        <is>
          <t>Δ 應收帳款</t>
        </is>
      </c>
      <c r="B9" s="20" t="n">
        <v>-5500</v>
      </c>
      <c r="C9" s="20" t="n">
        <v>-2500</v>
      </c>
      <c r="D9" s="20" t="n">
        <v>-8500</v>
      </c>
      <c r="E9" s="20" t="n">
        <v>-12000</v>
      </c>
      <c r="F9" s="20" t="n">
        <v>-8500</v>
      </c>
      <c r="G9" s="20" t="n">
        <v>-7500</v>
      </c>
      <c r="H9" s="20" t="n">
        <v>-6500</v>
      </c>
      <c r="I9" s="20" t="n">
        <v>-5500</v>
      </c>
      <c r="J9" s="20" t="n">
        <v>-4500</v>
      </c>
    </row>
    <row r="10">
      <c r="A10" s="29" t="inlineStr">
        <is>
          <t>Δ 存貨（Temu 履約緩衝）</t>
        </is>
      </c>
      <c r="B10" s="20" t="n">
        <v>-2500</v>
      </c>
      <c r="C10" s="20" t="n">
        <v>-1500</v>
      </c>
      <c r="D10" s="20" t="n">
        <v>-8500</v>
      </c>
      <c r="E10" s="20" t="n">
        <v>-16500</v>
      </c>
      <c r="F10" s="20" t="n">
        <v>-12000</v>
      </c>
      <c r="G10" s="20" t="n">
        <v>-10500</v>
      </c>
      <c r="H10" s="20" t="n">
        <v>-9000</v>
      </c>
      <c r="I10" s="20" t="n">
        <v>-7500</v>
      </c>
      <c r="J10" s="20" t="n">
        <v>-6000</v>
      </c>
    </row>
    <row r="11">
      <c r="A11" s="29" t="inlineStr">
        <is>
          <t>Δ 商家保證金與應付帳款</t>
        </is>
      </c>
      <c r="B11" s="20" t="n">
        <v>15500</v>
      </c>
      <c r="C11" s="20" t="n">
        <v>18500</v>
      </c>
      <c r="D11" s="20" t="n">
        <v>35500</v>
      </c>
      <c r="E11" s="20" t="n">
        <v>65500</v>
      </c>
      <c r="F11" s="20" t="n">
        <v>55000</v>
      </c>
      <c r="G11" s="20" t="n">
        <v>50000</v>
      </c>
      <c r="H11" s="20" t="n">
        <v>45000</v>
      </c>
      <c r="I11" s="20" t="n">
        <v>38500</v>
      </c>
      <c r="J11" s="20" t="n">
        <v>33500</v>
      </c>
    </row>
    <row r="12">
      <c r="A12" s="29" t="inlineStr">
        <is>
          <t>Δ 其他營運資金</t>
        </is>
      </c>
      <c r="B12" s="20" t="n">
        <v>3500</v>
      </c>
      <c r="C12" s="20" t="n">
        <v>5500</v>
      </c>
      <c r="D12" s="20" t="n">
        <v>6500</v>
      </c>
      <c r="E12" s="20" t="n">
        <v>8500</v>
      </c>
      <c r="F12" s="20" t="n">
        <v>7500</v>
      </c>
      <c r="G12" s="20" t="n">
        <v>7000</v>
      </c>
      <c r="H12" s="20" t="n">
        <v>6500</v>
      </c>
      <c r="I12" s="20" t="n">
        <v>6000</v>
      </c>
      <c r="J12" s="20" t="n">
        <v>5500</v>
      </c>
    </row>
    <row r="13">
      <c r="A13" s="21" t="inlineStr">
        <is>
          <t>營運資金變動合計</t>
        </is>
      </c>
      <c r="B13" s="22">
        <f>SUM(B9:B12)</f>
        <v/>
      </c>
      <c r="C13" s="22">
        <f>SUM(C9:C12)</f>
        <v/>
      </c>
      <c r="D13" s="22">
        <f>SUM(D9:D12)</f>
        <v/>
      </c>
      <c r="E13" s="22">
        <f>SUM(E9:E12)</f>
        <v/>
      </c>
      <c r="F13" s="22">
        <f>SUM(F9:F12)</f>
        <v/>
      </c>
      <c r="G13" s="22">
        <f>SUM(G9:G12)</f>
        <v/>
      </c>
      <c r="H13" s="22">
        <f>SUM(H9:H12)</f>
        <v/>
      </c>
      <c r="I13" s="22">
        <f>SUM(I9:I12)</f>
        <v/>
      </c>
      <c r="J13" s="22">
        <f>SUM(J9:J12)</f>
        <v/>
      </c>
    </row>
    <row r="15">
      <c r="A15" s="21" t="inlineStr">
        <is>
          <t>營業活動現金流（CFO）</t>
        </is>
      </c>
      <c r="B15" s="22">
        <f>B6+B7+B8+B13</f>
        <v/>
      </c>
      <c r="C15" s="22">
        <f>C6+C7+C8+C13</f>
        <v/>
      </c>
      <c r="D15" s="22">
        <f>D6+D7+D8+D13</f>
        <v/>
      </c>
      <c r="E15" s="22">
        <f>E6+E7+E8+E13</f>
        <v/>
      </c>
      <c r="F15" s="22">
        <f>F6+F7+F8+F13</f>
        <v/>
      </c>
      <c r="G15" s="22">
        <f>G6+G7+G8+G13</f>
        <v/>
      </c>
      <c r="H15" s="22">
        <f>H6+H7+H8+H13</f>
        <v/>
      </c>
      <c r="I15" s="22">
        <f>I6+I7+I8+I13</f>
        <v/>
      </c>
      <c r="J15" s="22">
        <f>J6+J7+J8+J13</f>
        <v/>
      </c>
    </row>
    <row r="16">
      <c r="A16" s="19" t="inlineStr">
        <is>
          <t xml:space="preserve">  CFO 佔收入比例 %</t>
        </is>
      </c>
      <c r="B16" s="26">
        <f>B15/損益表!B6</f>
        <v/>
      </c>
      <c r="C16" s="26">
        <f>C15/損益表!C6</f>
        <v/>
      </c>
      <c r="D16" s="26">
        <f>D15/損益表!D6</f>
        <v/>
      </c>
      <c r="E16" s="26">
        <f>E15/損益表!E6</f>
        <v/>
      </c>
      <c r="F16" s="26">
        <f>F15/損益表!F6</f>
        <v/>
      </c>
      <c r="G16" s="26">
        <f>G15/損益表!G6</f>
        <v/>
      </c>
      <c r="H16" s="26">
        <f>H15/損益表!H6</f>
        <v/>
      </c>
      <c r="I16" s="26">
        <f>I15/損益表!I6</f>
        <v/>
      </c>
      <c r="J16" s="26">
        <f>J15/損益表!J6</f>
        <v/>
      </c>
    </row>
    <row r="18">
      <c r="A18" s="4" t="inlineStr">
        <is>
          <t>投資活動</t>
        </is>
      </c>
    </row>
    <row r="19">
      <c r="A19" s="29" t="inlineStr">
        <is>
          <t>資本支出（CapEx）</t>
        </is>
      </c>
      <c r="B19" s="20" t="n">
        <v>-1500</v>
      </c>
      <c r="C19" s="20" t="n">
        <v>-2000</v>
      </c>
      <c r="D19" s="20" t="n">
        <v>-3500</v>
      </c>
      <c r="E19" s="20" t="n">
        <v>-5500</v>
      </c>
      <c r="F19" s="20" t="n">
        <v>-7500</v>
      </c>
      <c r="G19" s="20" t="n">
        <v>-9500</v>
      </c>
      <c r="H19" s="20" t="n">
        <v>-11500</v>
      </c>
      <c r="I19" s="20" t="n">
        <v>-13000</v>
      </c>
      <c r="J19" s="20" t="n">
        <v>-14000</v>
      </c>
    </row>
    <row r="20">
      <c r="A20" s="19" t="inlineStr">
        <is>
          <t xml:space="preserve">  CapEx 佔收入比例 %</t>
        </is>
      </c>
      <c r="B20" s="26">
        <f>-B19/損益表!B6</f>
        <v/>
      </c>
      <c r="C20" s="26">
        <f>-C19/損益表!C6</f>
        <v/>
      </c>
      <c r="D20" s="26">
        <f>-D19/損益表!D6</f>
        <v/>
      </c>
      <c r="E20" s="26">
        <f>-E19/損益表!E6</f>
        <v/>
      </c>
      <c r="F20" s="26">
        <f>-F19/損益表!F6</f>
        <v/>
      </c>
      <c r="G20" s="26">
        <f>-G19/損益表!G6</f>
        <v/>
      </c>
      <c r="H20" s="26">
        <f>-H19/損益表!H6</f>
        <v/>
      </c>
      <c r="I20" s="26">
        <f>-I19/損益表!I6</f>
        <v/>
      </c>
      <c r="J20" s="26">
        <f>-J19/損益表!J6</f>
        <v/>
      </c>
    </row>
    <row r="21">
      <c r="A21" s="29" t="inlineStr">
        <is>
          <t>Δ 短期投資</t>
        </is>
      </c>
      <c r="B21" s="20" t="n">
        <v>-15000</v>
      </c>
      <c r="C21" s="20" t="n">
        <v>-25000</v>
      </c>
      <c r="D21" s="20" t="n">
        <v>-35000</v>
      </c>
      <c r="E21" s="20" t="n">
        <v>-55000</v>
      </c>
      <c r="F21" s="20" t="n">
        <v>-50000</v>
      </c>
      <c r="G21" s="20" t="n">
        <v>-45000</v>
      </c>
      <c r="H21" s="20" t="n">
        <v>-40000</v>
      </c>
      <c r="I21" s="20" t="n">
        <v>-35000</v>
      </c>
      <c r="J21" s="20" t="n">
        <v>-30000</v>
      </c>
    </row>
    <row r="22">
      <c r="A22" s="29" t="inlineStr">
        <is>
          <t>併購與其他投資活動</t>
        </is>
      </c>
      <c r="B22" s="20" t="n">
        <v>-1500</v>
      </c>
      <c r="C22" s="20" t="n">
        <v>-2500</v>
      </c>
      <c r="D22" s="20" t="n">
        <v>-3500</v>
      </c>
      <c r="E22" s="20" t="n">
        <v>-5500</v>
      </c>
      <c r="F22" s="20" t="n">
        <v>-4500</v>
      </c>
      <c r="G22" s="20" t="n">
        <v>-4000</v>
      </c>
      <c r="H22" s="20" t="n">
        <v>-3500</v>
      </c>
      <c r="I22" s="20" t="n">
        <v>-3000</v>
      </c>
      <c r="J22" s="20" t="n">
        <v>-2500</v>
      </c>
    </row>
    <row r="24">
      <c r="A24" s="21" t="inlineStr">
        <is>
          <t>投資活動現金流（CFI）</t>
        </is>
      </c>
      <c r="B24" s="22">
        <f>SUM(B19:B22)</f>
        <v/>
      </c>
      <c r="C24" s="22">
        <f>SUM(C19:C22)</f>
        <v/>
      </c>
      <c r="D24" s="22">
        <f>SUM(D19:D22)</f>
        <v/>
      </c>
      <c r="E24" s="22">
        <f>SUM(E19:E22)</f>
        <v/>
      </c>
      <c r="F24" s="22">
        <f>SUM(F19:F22)</f>
        <v/>
      </c>
      <c r="G24" s="22">
        <f>SUM(G19:G22)</f>
        <v/>
      </c>
      <c r="H24" s="22">
        <f>SUM(H19:H22)</f>
        <v/>
      </c>
      <c r="I24" s="22">
        <f>SUM(I19:I22)</f>
        <v/>
      </c>
      <c r="J24" s="22">
        <f>SUM(J19:J22)</f>
        <v/>
      </c>
    </row>
    <row r="26">
      <c r="A26" s="21" t="inlineStr">
        <is>
          <t>自由現金流（CFO - CapEx）</t>
        </is>
      </c>
      <c r="B26" s="22">
        <f>B15+B19</f>
        <v/>
      </c>
      <c r="C26" s="22">
        <f>C15+C19</f>
        <v/>
      </c>
      <c r="D26" s="22">
        <f>D15+D19</f>
        <v/>
      </c>
      <c r="E26" s="22">
        <f>E15+E19</f>
        <v/>
      </c>
      <c r="F26" s="22">
        <f>F15+F19</f>
        <v/>
      </c>
      <c r="G26" s="22">
        <f>G15+G19</f>
        <v/>
      </c>
      <c r="H26" s="22">
        <f>H15+H19</f>
        <v/>
      </c>
      <c r="I26" s="22">
        <f>I15+I19</f>
        <v/>
      </c>
      <c r="J26" s="22">
        <f>J15+J19</f>
        <v/>
      </c>
    </row>
    <row r="27">
      <c r="A27" s="19" t="inlineStr">
        <is>
          <t xml:space="preserve">  FCF 佔收入比例 %</t>
        </is>
      </c>
      <c r="B27" s="26">
        <f>B26/損益表!B6</f>
        <v/>
      </c>
      <c r="C27" s="26">
        <f>C26/損益表!C6</f>
        <v/>
      </c>
      <c r="D27" s="26">
        <f>D26/損益表!D6</f>
        <v/>
      </c>
      <c r="E27" s="26">
        <f>E26/損益表!E6</f>
        <v/>
      </c>
      <c r="F27" s="26">
        <f>F26/損益表!F6</f>
        <v/>
      </c>
      <c r="G27" s="26">
        <f>G26/損益表!G6</f>
        <v/>
      </c>
      <c r="H27" s="26">
        <f>H26/損益表!H6</f>
        <v/>
      </c>
      <c r="I27" s="26">
        <f>I26/損益表!I6</f>
        <v/>
      </c>
      <c r="J27" s="26">
        <f>J26/損益表!J6</f>
        <v/>
      </c>
    </row>
    <row r="29">
      <c r="A29" s="4" t="inlineStr">
        <is>
          <t>籌資活動</t>
        </is>
      </c>
    </row>
    <row r="30">
      <c r="A30" s="29" t="inlineStr">
        <is>
          <t>債務發行 / （償還），淨額</t>
        </is>
      </c>
      <c r="B30" s="20" t="n">
        <v>0</v>
      </c>
      <c r="C30" s="20" t="n">
        <v>0</v>
      </c>
      <c r="D30" s="20" t="n">
        <v>0</v>
      </c>
      <c r="E30" s="20" t="n">
        <v>0</v>
      </c>
      <c r="F30" s="20" t="n">
        <v>0</v>
      </c>
      <c r="G30" s="20" t="n">
        <v>0</v>
      </c>
      <c r="H30" s="20" t="n">
        <v>0</v>
      </c>
      <c r="I30" s="20" t="n">
        <v>0</v>
      </c>
      <c r="J30" s="20" t="n">
        <v>0</v>
      </c>
    </row>
    <row r="31">
      <c r="A31" s="29" t="inlineStr">
        <is>
          <t>股權發行（員工持股）</t>
        </is>
      </c>
      <c r="B31" s="20" t="n">
        <v>800</v>
      </c>
      <c r="C31" s="20" t="n">
        <v>500</v>
      </c>
      <c r="D31" s="20" t="n">
        <v>1500</v>
      </c>
      <c r="E31" s="20" t="n">
        <v>1200</v>
      </c>
      <c r="F31" s="20" t="n">
        <v>800</v>
      </c>
      <c r="G31" s="20" t="n">
        <v>500</v>
      </c>
      <c r="H31" s="20" t="n">
        <v>500</v>
      </c>
      <c r="I31" s="20" t="n">
        <v>500</v>
      </c>
      <c r="J31" s="20" t="n">
        <v>500</v>
      </c>
    </row>
    <row r="32">
      <c r="A32" s="29" t="inlineStr">
        <is>
          <t>股份回購</t>
        </is>
      </c>
      <c r="B32" s="20" t="n">
        <v>0</v>
      </c>
      <c r="C32" s="20" t="n">
        <v>0</v>
      </c>
      <c r="D32" s="20" t="n">
        <v>0</v>
      </c>
      <c r="E32" s="20" t="n">
        <v>0</v>
      </c>
      <c r="F32" s="20" t="n">
        <v>0</v>
      </c>
      <c r="G32" s="20" t="n">
        <v>0</v>
      </c>
      <c r="H32" s="20" t="n">
        <v>0</v>
      </c>
      <c r="I32" s="20" t="n">
        <v>0</v>
      </c>
      <c r="J32" s="20" t="n">
        <v>0</v>
      </c>
    </row>
    <row r="33">
      <c r="A33" s="29" t="inlineStr">
        <is>
          <t>已派發股利</t>
        </is>
      </c>
      <c r="B33" s="20" t="n">
        <v>0</v>
      </c>
      <c r="C33" s="20" t="n">
        <v>0</v>
      </c>
      <c r="D33" s="20" t="n">
        <v>0</v>
      </c>
      <c r="E33" s="20" t="n">
        <v>0</v>
      </c>
      <c r="F33" s="20" t="n">
        <v>0</v>
      </c>
      <c r="G33" s="20" t="n">
        <v>0</v>
      </c>
      <c r="H33" s="20" t="n">
        <v>0</v>
      </c>
      <c r="I33" s="20" t="n">
        <v>0</v>
      </c>
      <c r="J33" s="20" t="n">
        <v>0</v>
      </c>
    </row>
    <row r="34">
      <c r="A34" s="29" t="inlineStr">
        <is>
          <t>其他籌資活動</t>
        </is>
      </c>
      <c r="B34" s="20" t="n">
        <v>-500</v>
      </c>
      <c r="C34" s="20" t="n">
        <v>-500</v>
      </c>
      <c r="D34" s="20" t="n">
        <v>-800</v>
      </c>
      <c r="E34" s="20" t="n">
        <v>-1200</v>
      </c>
      <c r="F34" s="20" t="n">
        <v>-1000</v>
      </c>
      <c r="G34" s="20" t="n">
        <v>-1000</v>
      </c>
      <c r="H34" s="20" t="n">
        <v>-1000</v>
      </c>
      <c r="I34" s="20" t="n">
        <v>-1000</v>
      </c>
      <c r="J34" s="20" t="n">
        <v>-1000</v>
      </c>
    </row>
    <row r="36">
      <c r="A36" s="21" t="inlineStr">
        <is>
          <t>籌資活動現金流（CFF）</t>
        </is>
      </c>
      <c r="B36" s="22">
        <f>SUM(B30:B34)</f>
        <v/>
      </c>
      <c r="C36" s="22">
        <f>SUM(C30:C34)</f>
        <v/>
      </c>
      <c r="D36" s="22">
        <f>SUM(D30:D34)</f>
        <v/>
      </c>
      <c r="E36" s="22">
        <f>SUM(E30:E34)</f>
        <v/>
      </c>
      <c r="F36" s="22">
        <f>SUM(F30:F34)</f>
        <v/>
      </c>
      <c r="G36" s="22">
        <f>SUM(G30:G34)</f>
        <v/>
      </c>
      <c r="H36" s="22">
        <f>SUM(H30:H34)</f>
        <v/>
      </c>
      <c r="I36" s="22">
        <f>SUM(I30:I34)</f>
        <v/>
      </c>
      <c r="J36" s="22">
        <f>SUM(J30:J34)</f>
        <v/>
      </c>
    </row>
    <row r="38">
      <c r="A38" s="21" t="inlineStr">
        <is>
          <t>現金淨變動</t>
        </is>
      </c>
      <c r="B38" s="22">
        <f>B15+B24+B36</f>
        <v/>
      </c>
      <c r="C38" s="22">
        <f>C15+C24+C36</f>
        <v/>
      </c>
      <c r="D38" s="22">
        <f>D15+D24+D36</f>
        <v/>
      </c>
      <c r="E38" s="22">
        <f>E15+E24+E36</f>
        <v/>
      </c>
      <c r="F38" s="22">
        <f>F15+F24+F36</f>
        <v/>
      </c>
      <c r="G38" s="22">
        <f>G15+G24+G36</f>
        <v/>
      </c>
      <c r="H38" s="22">
        <f>H15+H24+H36</f>
        <v/>
      </c>
      <c r="I38" s="22">
        <f>I15+I24+I36</f>
        <v/>
      </c>
      <c r="J38" s="22">
        <f>J15+J24+J36</f>
        <v/>
      </c>
    </row>
    <row r="39">
      <c r="A39" s="29" t="inlineStr">
        <is>
          <t>期初現金及約當現金</t>
        </is>
      </c>
      <c r="B39" s="20" t="n">
        <v>32000</v>
      </c>
      <c r="C39" s="20">
        <f>B40</f>
        <v/>
      </c>
      <c r="D39" s="20">
        <f>C40</f>
        <v/>
      </c>
      <c r="E39" s="20">
        <f>D40</f>
        <v/>
      </c>
      <c r="F39" s="20">
        <f>E40</f>
        <v/>
      </c>
      <c r="G39" s="20">
        <f>F40</f>
        <v/>
      </c>
      <c r="H39" s="20">
        <f>G40</f>
        <v/>
      </c>
      <c r="I39" s="20">
        <f>H40</f>
        <v/>
      </c>
      <c r="J39" s="20">
        <f>I40</f>
        <v/>
      </c>
    </row>
    <row r="40">
      <c r="A40" s="21" t="inlineStr">
        <is>
          <t>期末現金及約當現金</t>
        </is>
      </c>
      <c r="B40" s="22">
        <f>B38+B39</f>
        <v/>
      </c>
      <c r="C40" s="22">
        <f>C38+C39</f>
        <v/>
      </c>
      <c r="D40" s="22">
        <f>D38+D39</f>
        <v/>
      </c>
      <c r="E40" s="22">
        <f>E38+E39</f>
        <v/>
      </c>
      <c r="F40" s="22">
        <f>F38+F39</f>
        <v/>
      </c>
      <c r="G40" s="22">
        <f>G38+G39</f>
        <v/>
      </c>
      <c r="H40" s="22">
        <f>H38+H39</f>
        <v/>
      </c>
      <c r="I40" s="22">
        <f>I38+I39</f>
        <v/>
      </c>
      <c r="J40" s="22">
        <f>J38+J39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PDD Holdings — 資產負債表（人民幣百萬元）</t>
        </is>
      </c>
    </row>
    <row r="2">
      <c r="A2" s="3" t="inlineStr">
        <is>
          <t>年末餘額，含平衡驗證</t>
        </is>
      </c>
    </row>
    <row r="4">
      <c r="A4" s="15" t="inlineStr"/>
      <c r="B4" s="16" t="inlineStr">
        <is>
          <t>2021A</t>
        </is>
      </c>
      <c r="C4" s="16" t="inlineStr">
        <is>
          <t>2022A</t>
        </is>
      </c>
      <c r="D4" s="16" t="inlineStr">
        <is>
          <t>2023A</t>
        </is>
      </c>
      <c r="E4" s="16" t="inlineStr">
        <is>
          <t>2024A</t>
        </is>
      </c>
      <c r="F4" s="16" t="inlineStr">
        <is>
          <t>2025E</t>
        </is>
      </c>
      <c r="G4" s="16" t="inlineStr">
        <is>
          <t>2026E</t>
        </is>
      </c>
      <c r="H4" s="16" t="inlineStr">
        <is>
          <t>2027E</t>
        </is>
      </c>
      <c r="I4" s="16" t="inlineStr">
        <is>
          <t>2028E</t>
        </is>
      </c>
      <c r="J4" s="16" t="inlineStr">
        <is>
          <t>2029E</t>
        </is>
      </c>
    </row>
    <row r="5">
      <c r="A5" s="4" t="inlineStr">
        <is>
          <t>流動資產</t>
        </is>
      </c>
    </row>
    <row r="6">
      <c r="A6" s="32" t="inlineStr">
        <is>
          <t>現金及約當現金</t>
        </is>
      </c>
      <c r="B6" s="33">
        <f>現金流量表!B40</f>
        <v/>
      </c>
      <c r="C6" s="33">
        <f>現金流量表!C40</f>
        <v/>
      </c>
      <c r="D6" s="33">
        <f>現金流量表!D40</f>
        <v/>
      </c>
      <c r="E6" s="33">
        <f>現金流量表!E40</f>
        <v/>
      </c>
      <c r="F6" s="33">
        <f>現金流量表!F40</f>
        <v/>
      </c>
      <c r="G6" s="33">
        <f>現金流量表!G40</f>
        <v/>
      </c>
      <c r="H6" s="33">
        <f>現金流量表!H40</f>
        <v/>
      </c>
      <c r="I6" s="33">
        <f>現金流量表!I40</f>
        <v/>
      </c>
      <c r="J6" s="33">
        <f>現金流量表!J40</f>
        <v/>
      </c>
    </row>
    <row r="7">
      <c r="A7" s="29" t="inlineStr">
        <is>
          <t>短期投資</t>
        </is>
      </c>
      <c r="B7" s="20" t="n">
        <v>93000</v>
      </c>
      <c r="C7" s="20" t="n">
        <v>118000</v>
      </c>
      <c r="D7" s="20" t="n">
        <v>153000</v>
      </c>
      <c r="E7" s="20" t="n">
        <v>208000</v>
      </c>
      <c r="F7" s="20" t="n">
        <v>258000</v>
      </c>
      <c r="G7" s="20" t="n">
        <v>303000</v>
      </c>
      <c r="H7" s="20" t="n">
        <v>343000</v>
      </c>
      <c r="I7" s="20" t="n">
        <v>378000</v>
      </c>
      <c r="J7" s="20" t="n">
        <v>408000</v>
      </c>
    </row>
    <row r="8">
      <c r="A8" s="29" t="inlineStr">
        <is>
          <t>應收帳款，淨額</t>
        </is>
      </c>
      <c r="B8" s="20" t="n">
        <v>4500</v>
      </c>
      <c r="C8" s="20" t="n">
        <v>7000</v>
      </c>
      <c r="D8" s="20" t="n">
        <v>15500</v>
      </c>
      <c r="E8" s="20" t="n">
        <v>27500</v>
      </c>
      <c r="F8" s="20" t="n">
        <v>36000</v>
      </c>
      <c r="G8" s="20" t="n">
        <v>43500</v>
      </c>
      <c r="H8" s="20" t="n">
        <v>50000</v>
      </c>
      <c r="I8" s="20" t="n">
        <v>55500</v>
      </c>
      <c r="J8" s="20" t="n">
        <v>60000</v>
      </c>
    </row>
    <row r="9">
      <c r="A9" s="29" t="inlineStr">
        <is>
          <t>存貨</t>
        </is>
      </c>
      <c r="B9" s="20" t="n">
        <v>800</v>
      </c>
      <c r="C9" s="20" t="n">
        <v>2300</v>
      </c>
      <c r="D9" s="20" t="n">
        <v>10800</v>
      </c>
      <c r="E9" s="20" t="n">
        <v>27300</v>
      </c>
      <c r="F9" s="20" t="n">
        <v>39300</v>
      </c>
      <c r="G9" s="20" t="n">
        <v>49800</v>
      </c>
      <c r="H9" s="20" t="n">
        <v>58800</v>
      </c>
      <c r="I9" s="20" t="n">
        <v>66300</v>
      </c>
      <c r="J9" s="20" t="n">
        <v>72300</v>
      </c>
    </row>
    <row r="10">
      <c r="A10" s="29" t="inlineStr">
        <is>
          <t>預付費用與其他流動資產</t>
        </is>
      </c>
      <c r="B10" s="20" t="n">
        <v>2500</v>
      </c>
      <c r="C10" s="20" t="n">
        <v>3500</v>
      </c>
      <c r="D10" s="20" t="n">
        <v>5500</v>
      </c>
      <c r="E10" s="20" t="n">
        <v>8500</v>
      </c>
      <c r="F10" s="20" t="n">
        <v>10500</v>
      </c>
      <c r="G10" s="20" t="n">
        <v>12500</v>
      </c>
      <c r="H10" s="20" t="n">
        <v>14500</v>
      </c>
      <c r="I10" s="20" t="n">
        <v>16000</v>
      </c>
      <c r="J10" s="20" t="n">
        <v>17500</v>
      </c>
    </row>
    <row r="11">
      <c r="A11" s="29" t="inlineStr">
        <is>
          <t>應收關聯方款項</t>
        </is>
      </c>
      <c r="B11" s="20" t="n">
        <v>1500</v>
      </c>
      <c r="C11" s="20" t="n">
        <v>2500</v>
      </c>
      <c r="D11" s="20" t="n">
        <v>4500</v>
      </c>
      <c r="E11" s="20" t="n">
        <v>6500</v>
      </c>
      <c r="F11" s="20" t="n">
        <v>8500</v>
      </c>
      <c r="G11" s="20" t="n">
        <v>10500</v>
      </c>
      <c r="H11" s="20" t="n">
        <v>12500</v>
      </c>
      <c r="I11" s="20" t="n">
        <v>14000</v>
      </c>
      <c r="J11" s="20" t="n">
        <v>15500</v>
      </c>
    </row>
    <row r="12">
      <c r="A12" s="21" t="inlineStr">
        <is>
          <t>流動資產合計</t>
        </is>
      </c>
      <c r="B12" s="22">
        <f>SUM(B6:B11)</f>
        <v/>
      </c>
      <c r="C12" s="22">
        <f>SUM(C6:C11)</f>
        <v/>
      </c>
      <c r="D12" s="22">
        <f>SUM(D6:D11)</f>
        <v/>
      </c>
      <c r="E12" s="22">
        <f>SUM(E6:E11)</f>
        <v/>
      </c>
      <c r="F12" s="22">
        <f>SUM(F6:F11)</f>
        <v/>
      </c>
      <c r="G12" s="22">
        <f>SUM(G6:G11)</f>
        <v/>
      </c>
      <c r="H12" s="22">
        <f>SUM(H6:H11)</f>
        <v/>
      </c>
      <c r="I12" s="22">
        <f>SUM(I6:I11)</f>
        <v/>
      </c>
      <c r="J12" s="22">
        <f>SUM(J6:J11)</f>
        <v/>
      </c>
    </row>
    <row r="14">
      <c r="A14" s="4" t="inlineStr">
        <is>
          <t>非流動資產</t>
        </is>
      </c>
    </row>
    <row r="15">
      <c r="A15" s="29" t="inlineStr">
        <is>
          <t>不動產廠房設備總額（累計成本）</t>
        </is>
      </c>
      <c r="B15" s="20" t="n">
        <v>5500</v>
      </c>
      <c r="C15" s="20" t="n">
        <v>7500</v>
      </c>
      <c r="D15" s="20" t="n">
        <v>11000</v>
      </c>
      <c r="E15" s="20" t="n">
        <v>16500</v>
      </c>
      <c r="F15" s="20" t="n">
        <v>24000</v>
      </c>
      <c r="G15" s="20" t="n">
        <v>33500</v>
      </c>
      <c r="H15" s="20" t="n">
        <v>45000</v>
      </c>
      <c r="I15" s="20" t="n">
        <v>58000</v>
      </c>
      <c r="J15" s="20" t="n">
        <v>72000</v>
      </c>
    </row>
    <row r="16">
      <c r="A16" s="29" t="inlineStr">
        <is>
          <t>累計折舊</t>
        </is>
      </c>
      <c r="B16" s="20" t="n">
        <v>-1500</v>
      </c>
      <c r="C16" s="20" t="n">
        <v>-2300</v>
      </c>
      <c r="D16" s="20" t="n">
        <v>-3500</v>
      </c>
      <c r="E16" s="20" t="n">
        <v>-5150</v>
      </c>
      <c r="F16" s="20" t="n">
        <v>-7250</v>
      </c>
      <c r="G16" s="20" t="n">
        <v>-9850</v>
      </c>
      <c r="H16" s="20" t="n">
        <v>-13050</v>
      </c>
      <c r="I16" s="20" t="n">
        <v>-16850</v>
      </c>
      <c r="J16" s="20" t="n">
        <v>-21250</v>
      </c>
    </row>
    <row r="17">
      <c r="A17" s="21" t="inlineStr">
        <is>
          <t>不動產廠房設備，淨額</t>
        </is>
      </c>
      <c r="B17" s="22">
        <f>B15+B16</f>
        <v/>
      </c>
      <c r="C17" s="22">
        <f>C15+C16</f>
        <v/>
      </c>
      <c r="D17" s="22">
        <f>D15+D16</f>
        <v/>
      </c>
      <c r="E17" s="22">
        <f>E15+E16</f>
        <v/>
      </c>
      <c r="F17" s="22">
        <f>F15+F16</f>
        <v/>
      </c>
      <c r="G17" s="22">
        <f>G15+G16</f>
        <v/>
      </c>
      <c r="H17" s="22">
        <f>H15+H16</f>
        <v/>
      </c>
      <c r="I17" s="22">
        <f>I15+I16</f>
        <v/>
      </c>
      <c r="J17" s="22">
        <f>J15+J16</f>
        <v/>
      </c>
    </row>
    <row r="18">
      <c r="A18" s="29" t="inlineStr">
        <is>
          <t>長期投資</t>
        </is>
      </c>
      <c r="B18" s="20" t="n">
        <v>12500</v>
      </c>
      <c r="C18" s="20" t="n">
        <v>18500</v>
      </c>
      <c r="D18" s="20" t="n">
        <v>28500</v>
      </c>
      <c r="E18" s="20" t="n">
        <v>42500</v>
      </c>
      <c r="F18" s="20" t="n">
        <v>58500</v>
      </c>
      <c r="G18" s="20" t="n">
        <v>75500</v>
      </c>
      <c r="H18" s="20" t="n">
        <v>92500</v>
      </c>
      <c r="I18" s="20" t="n">
        <v>108500</v>
      </c>
      <c r="J18" s="20" t="n">
        <v>122500</v>
      </c>
    </row>
    <row r="19">
      <c r="A19" s="29" t="inlineStr">
        <is>
          <t>使用權資產（營業租賃）</t>
        </is>
      </c>
      <c r="B19" s="20" t="n">
        <v>2500</v>
      </c>
      <c r="C19" s="20" t="n">
        <v>3500</v>
      </c>
      <c r="D19" s="20" t="n">
        <v>5500</v>
      </c>
      <c r="E19" s="20" t="n">
        <v>8500</v>
      </c>
      <c r="F19" s="20" t="n">
        <v>12000</v>
      </c>
      <c r="G19" s="20" t="n">
        <v>16000</v>
      </c>
      <c r="H19" s="20" t="n">
        <v>20000</v>
      </c>
      <c r="I19" s="20" t="n">
        <v>24000</v>
      </c>
      <c r="J19" s="20" t="n">
        <v>28000</v>
      </c>
    </row>
    <row r="20">
      <c r="A20" s="29" t="inlineStr">
        <is>
          <t>無形資產，淨額</t>
        </is>
      </c>
      <c r="B20" s="20" t="n">
        <v>500</v>
      </c>
      <c r="C20" s="20" t="n">
        <v>1500</v>
      </c>
      <c r="D20" s="20" t="n">
        <v>2500</v>
      </c>
      <c r="E20" s="20" t="n">
        <v>3500</v>
      </c>
      <c r="F20" s="20" t="n">
        <v>4500</v>
      </c>
      <c r="G20" s="20" t="n">
        <v>5500</v>
      </c>
      <c r="H20" s="20" t="n">
        <v>6500</v>
      </c>
      <c r="I20" s="20" t="n">
        <v>7500</v>
      </c>
      <c r="J20" s="20" t="n">
        <v>8500</v>
      </c>
    </row>
    <row r="21">
      <c r="A21" s="29" t="inlineStr">
        <is>
          <t>商譽</t>
        </is>
      </c>
      <c r="B21" s="20" t="n">
        <v>0</v>
      </c>
      <c r="C21" s="20" t="n">
        <v>500</v>
      </c>
      <c r="D21" s="20" t="n">
        <v>1500</v>
      </c>
      <c r="E21" s="20" t="n">
        <v>2500</v>
      </c>
      <c r="F21" s="20" t="n">
        <v>3500</v>
      </c>
      <c r="G21" s="20" t="n">
        <v>4500</v>
      </c>
      <c r="H21" s="20" t="n">
        <v>5500</v>
      </c>
      <c r="I21" s="20" t="n">
        <v>6000</v>
      </c>
      <c r="J21" s="20" t="n">
        <v>6500</v>
      </c>
    </row>
    <row r="22">
      <c r="A22" s="29" t="inlineStr">
        <is>
          <t>遞延所得稅資產</t>
        </is>
      </c>
      <c r="B22" s="20" t="n">
        <v>3500</v>
      </c>
      <c r="C22" s="20" t="n">
        <v>5500</v>
      </c>
      <c r="D22" s="20" t="n">
        <v>8500</v>
      </c>
      <c r="E22" s="20" t="n">
        <v>12500</v>
      </c>
      <c r="F22" s="20" t="n">
        <v>16500</v>
      </c>
      <c r="G22" s="20" t="n">
        <v>20500</v>
      </c>
      <c r="H22" s="20" t="n">
        <v>24500</v>
      </c>
      <c r="I22" s="20" t="n">
        <v>27500</v>
      </c>
      <c r="J22" s="20" t="n">
        <v>30500</v>
      </c>
    </row>
    <row r="23">
      <c r="A23" s="21" t="inlineStr">
        <is>
          <t>非流動資產合計</t>
        </is>
      </c>
      <c r="B23" s="22">
        <f>B17+B18+B19+B20+B21+B22</f>
        <v/>
      </c>
      <c r="C23" s="22">
        <f>C17+C18+C19+C20+C21+C22</f>
        <v/>
      </c>
      <c r="D23" s="22">
        <f>D17+D18+D19+D20+D21+D22</f>
        <v/>
      </c>
      <c r="E23" s="22">
        <f>E17+E18+E19+E20+E21+E22</f>
        <v/>
      </c>
      <c r="F23" s="22">
        <f>F17+F18+F19+F20+F21+F22</f>
        <v/>
      </c>
      <c r="G23" s="22">
        <f>G17+G18+G19+G20+G21+G22</f>
        <v/>
      </c>
      <c r="H23" s="22">
        <f>H17+H18+H19+H20+H21+H22</f>
        <v/>
      </c>
      <c r="I23" s="22">
        <f>I17+I18+I19+I20+I21+I22</f>
        <v/>
      </c>
      <c r="J23" s="22">
        <f>J17+J18+J19+J20+J21+J22</f>
        <v/>
      </c>
    </row>
    <row r="25">
      <c r="A25" s="21" t="inlineStr">
        <is>
          <t>資產總額</t>
        </is>
      </c>
      <c r="B25" s="22">
        <f>B12+B23</f>
        <v/>
      </c>
      <c r="C25" s="22">
        <f>C12+C23</f>
        <v/>
      </c>
      <c r="D25" s="22">
        <f>D12+D23</f>
        <v/>
      </c>
      <c r="E25" s="22">
        <f>E12+E23</f>
        <v/>
      </c>
      <c r="F25" s="22">
        <f>F12+F23</f>
        <v/>
      </c>
      <c r="G25" s="22">
        <f>G12+G23</f>
        <v/>
      </c>
      <c r="H25" s="22">
        <f>H12+H23</f>
        <v/>
      </c>
      <c r="I25" s="22">
        <f>I12+I23</f>
        <v/>
      </c>
      <c r="J25" s="22">
        <f>J12+J23</f>
        <v/>
      </c>
    </row>
    <row r="27">
      <c r="A27" s="4" t="inlineStr">
        <is>
          <t>流動負債</t>
        </is>
      </c>
    </row>
    <row r="28">
      <c r="A28" s="29" t="inlineStr">
        <is>
          <t>應付帳款與商家保證金</t>
        </is>
      </c>
      <c r="B28" s="20" t="n">
        <v>38500</v>
      </c>
      <c r="C28" s="20" t="n">
        <v>56500</v>
      </c>
      <c r="D28" s="20" t="n">
        <v>92500</v>
      </c>
      <c r="E28" s="20" t="n">
        <v>158500</v>
      </c>
      <c r="F28" s="20" t="n">
        <v>213500</v>
      </c>
      <c r="G28" s="20" t="n">
        <v>263500</v>
      </c>
      <c r="H28" s="20" t="n">
        <v>308500</v>
      </c>
      <c r="I28" s="20" t="n">
        <v>347500</v>
      </c>
      <c r="J28" s="20" t="n">
        <v>381500</v>
      </c>
    </row>
    <row r="29">
      <c r="A29" s="29" t="inlineStr">
        <is>
          <t>應計費用與其他流動負債</t>
        </is>
      </c>
      <c r="B29" s="20" t="n">
        <v>12500</v>
      </c>
      <c r="C29" s="20" t="n">
        <v>18500</v>
      </c>
      <c r="D29" s="20" t="n">
        <v>31500</v>
      </c>
      <c r="E29" s="20" t="n">
        <v>52500</v>
      </c>
      <c r="F29" s="20" t="n">
        <v>68500</v>
      </c>
      <c r="G29" s="20" t="n">
        <v>83500</v>
      </c>
      <c r="H29" s="20" t="n">
        <v>97500</v>
      </c>
      <c r="I29" s="20" t="n">
        <v>109500</v>
      </c>
      <c r="J29" s="20" t="n">
        <v>119500</v>
      </c>
    </row>
    <row r="30">
      <c r="A30" s="29" t="inlineStr">
        <is>
          <t>客戶預收款與遞延收入</t>
        </is>
      </c>
      <c r="B30" s="20" t="n">
        <v>3500</v>
      </c>
      <c r="C30" s="20" t="n">
        <v>5500</v>
      </c>
      <c r="D30" s="20" t="n">
        <v>12500</v>
      </c>
      <c r="E30" s="20" t="n">
        <v>28500</v>
      </c>
      <c r="F30" s="20" t="n">
        <v>40500</v>
      </c>
      <c r="G30" s="20" t="n">
        <v>52500</v>
      </c>
      <c r="H30" s="20" t="n">
        <v>63500</v>
      </c>
      <c r="I30" s="20" t="n">
        <v>73500</v>
      </c>
      <c r="J30" s="20" t="n">
        <v>82500</v>
      </c>
    </row>
    <row r="31">
      <c r="A31" s="29" t="inlineStr">
        <is>
          <t>短期借款</t>
        </is>
      </c>
      <c r="B31" s="20" t="n">
        <v>0</v>
      </c>
      <c r="C31" s="20" t="n">
        <v>0</v>
      </c>
      <c r="D31" s="20" t="n">
        <v>0</v>
      </c>
      <c r="E31" s="20" t="n">
        <v>0</v>
      </c>
      <c r="F31" s="20" t="n">
        <v>0</v>
      </c>
      <c r="G31" s="20" t="n">
        <v>0</v>
      </c>
      <c r="H31" s="20" t="n">
        <v>0</v>
      </c>
      <c r="I31" s="20" t="n">
        <v>0</v>
      </c>
      <c r="J31" s="20" t="n">
        <v>0</v>
      </c>
    </row>
    <row r="32">
      <c r="A32" s="29" t="inlineStr">
        <is>
          <t>短期營業租賃負債</t>
        </is>
      </c>
      <c r="B32" s="20" t="n">
        <v>800</v>
      </c>
      <c r="C32" s="20" t="n">
        <v>1200</v>
      </c>
      <c r="D32" s="20" t="n">
        <v>1800</v>
      </c>
      <c r="E32" s="20" t="n">
        <v>2500</v>
      </c>
      <c r="F32" s="20" t="n">
        <v>3500</v>
      </c>
      <c r="G32" s="20" t="n">
        <v>4500</v>
      </c>
      <c r="H32" s="20" t="n">
        <v>5500</v>
      </c>
      <c r="I32" s="20" t="n">
        <v>6500</v>
      </c>
      <c r="J32" s="20" t="n">
        <v>7500</v>
      </c>
    </row>
    <row r="33">
      <c r="A33" s="29" t="inlineStr">
        <is>
          <t>應付所得稅</t>
        </is>
      </c>
      <c r="B33" s="20" t="n">
        <v>1500</v>
      </c>
      <c r="C33" s="20" t="n">
        <v>2500</v>
      </c>
      <c r="D33" s="20" t="n">
        <v>4500</v>
      </c>
      <c r="E33" s="20" t="n">
        <v>8500</v>
      </c>
      <c r="F33" s="20" t="n">
        <v>11500</v>
      </c>
      <c r="G33" s="20" t="n">
        <v>14500</v>
      </c>
      <c r="H33" s="20" t="n">
        <v>17500</v>
      </c>
      <c r="I33" s="20" t="n">
        <v>19500</v>
      </c>
      <c r="J33" s="20" t="n">
        <v>21500</v>
      </c>
    </row>
    <row r="34">
      <c r="A34" s="21" t="inlineStr">
        <is>
          <t>流動負債合計</t>
        </is>
      </c>
      <c r="B34" s="22">
        <f>SUM(B28:B33)</f>
        <v/>
      </c>
      <c r="C34" s="22">
        <f>SUM(C28:C33)</f>
        <v/>
      </c>
      <c r="D34" s="22">
        <f>SUM(D28:D33)</f>
        <v/>
      </c>
      <c r="E34" s="22">
        <f>SUM(E28:E33)</f>
        <v/>
      </c>
      <c r="F34" s="22">
        <f>SUM(F28:F33)</f>
        <v/>
      </c>
      <c r="G34" s="22">
        <f>SUM(G28:G33)</f>
        <v/>
      </c>
      <c r="H34" s="22">
        <f>SUM(H28:H33)</f>
        <v/>
      </c>
      <c r="I34" s="22">
        <f>SUM(I28:I33)</f>
        <v/>
      </c>
      <c r="J34" s="22">
        <f>SUM(J28:J33)</f>
        <v/>
      </c>
    </row>
    <row r="36">
      <c r="A36" s="4" t="inlineStr">
        <is>
          <t>非流動負債</t>
        </is>
      </c>
    </row>
    <row r="37">
      <c r="A37" s="29" t="inlineStr">
        <is>
          <t>長期借款</t>
        </is>
      </c>
      <c r="B37" s="20" t="n">
        <v>0</v>
      </c>
      <c r="C37" s="20" t="n">
        <v>0</v>
      </c>
      <c r="D37" s="20" t="n">
        <v>0</v>
      </c>
      <c r="E37" s="20" t="n">
        <v>0</v>
      </c>
      <c r="F37" s="20" t="n">
        <v>0</v>
      </c>
      <c r="G37" s="20" t="n">
        <v>0</v>
      </c>
      <c r="H37" s="20" t="n">
        <v>0</v>
      </c>
      <c r="I37" s="20" t="n">
        <v>0</v>
      </c>
      <c r="J37" s="20" t="n">
        <v>0</v>
      </c>
    </row>
    <row r="38">
      <c r="A38" s="29" t="inlineStr">
        <is>
          <t>長期營業租賃負債</t>
        </is>
      </c>
      <c r="B38" s="20" t="n">
        <v>1500</v>
      </c>
      <c r="C38" s="20" t="n">
        <v>2300</v>
      </c>
      <c r="D38" s="20" t="n">
        <v>3500</v>
      </c>
      <c r="E38" s="20" t="n">
        <v>5500</v>
      </c>
      <c r="F38" s="20" t="n">
        <v>7500</v>
      </c>
      <c r="G38" s="20" t="n">
        <v>10000</v>
      </c>
      <c r="H38" s="20" t="n">
        <v>12500</v>
      </c>
      <c r="I38" s="20" t="n">
        <v>15000</v>
      </c>
      <c r="J38" s="20" t="n">
        <v>17500</v>
      </c>
    </row>
    <row r="39">
      <c r="A39" s="29" t="inlineStr">
        <is>
          <t>遞延所得稅負債</t>
        </is>
      </c>
      <c r="B39" s="20" t="n">
        <v>200</v>
      </c>
      <c r="C39" s="20" t="n">
        <v>400</v>
      </c>
      <c r="D39" s="20" t="n">
        <v>700</v>
      </c>
      <c r="E39" s="20" t="n">
        <v>1200</v>
      </c>
      <c r="F39" s="20" t="n">
        <v>1700</v>
      </c>
      <c r="G39" s="20" t="n">
        <v>2200</v>
      </c>
      <c r="H39" s="20" t="n">
        <v>2700</v>
      </c>
      <c r="I39" s="20" t="n">
        <v>3200</v>
      </c>
      <c r="J39" s="20" t="n">
        <v>3700</v>
      </c>
    </row>
    <row r="40">
      <c r="A40" s="29" t="inlineStr">
        <is>
          <t>其他長期負債</t>
        </is>
      </c>
      <c r="B40" s="20" t="n">
        <v>500</v>
      </c>
      <c r="C40" s="20" t="n">
        <v>800</v>
      </c>
      <c r="D40" s="20" t="n">
        <v>1300</v>
      </c>
      <c r="E40" s="20" t="n">
        <v>2000</v>
      </c>
      <c r="F40" s="20" t="n">
        <v>2700</v>
      </c>
      <c r="G40" s="20" t="n">
        <v>3400</v>
      </c>
      <c r="H40" s="20" t="n">
        <v>4100</v>
      </c>
      <c r="I40" s="20" t="n">
        <v>4800</v>
      </c>
      <c r="J40" s="20" t="n">
        <v>5500</v>
      </c>
    </row>
    <row r="41">
      <c r="A41" s="21" t="inlineStr">
        <is>
          <t>非流動負債合計</t>
        </is>
      </c>
      <c r="B41" s="22">
        <f>SUM(B37:B40)</f>
        <v/>
      </c>
      <c r="C41" s="22">
        <f>SUM(C37:C40)</f>
        <v/>
      </c>
      <c r="D41" s="22">
        <f>SUM(D37:D40)</f>
        <v/>
      </c>
      <c r="E41" s="22">
        <f>SUM(E37:E40)</f>
        <v/>
      </c>
      <c r="F41" s="22">
        <f>SUM(F37:F40)</f>
        <v/>
      </c>
      <c r="G41" s="22">
        <f>SUM(G37:G40)</f>
        <v/>
      </c>
      <c r="H41" s="22">
        <f>SUM(H37:H40)</f>
        <v/>
      </c>
      <c r="I41" s="22">
        <f>SUM(I37:I40)</f>
        <v/>
      </c>
      <c r="J41" s="22">
        <f>SUM(J37:J40)</f>
        <v/>
      </c>
    </row>
    <row r="43">
      <c r="A43" s="21" t="inlineStr">
        <is>
          <t>負債總額</t>
        </is>
      </c>
      <c r="B43" s="22">
        <f>B34+B41</f>
        <v/>
      </c>
      <c r="C43" s="22">
        <f>C34+C41</f>
        <v/>
      </c>
      <c r="D43" s="22">
        <f>D34+D41</f>
        <v/>
      </c>
      <c r="E43" s="22">
        <f>E34+E41</f>
        <v/>
      </c>
      <c r="F43" s="22">
        <f>F34+F41</f>
        <v/>
      </c>
      <c r="G43" s="22">
        <f>G34+G41</f>
        <v/>
      </c>
      <c r="H43" s="22">
        <f>H34+H41</f>
        <v/>
      </c>
      <c r="I43" s="22">
        <f>I34+I41</f>
        <v/>
      </c>
      <c r="J43" s="22">
        <f>J34+J41</f>
        <v/>
      </c>
    </row>
    <row r="45">
      <c r="A45" s="4" t="inlineStr">
        <is>
          <t>股東權益</t>
        </is>
      </c>
    </row>
    <row r="46">
      <c r="A46" s="29" t="inlineStr">
        <is>
          <t>普通股 + 資本公積</t>
        </is>
      </c>
      <c r="B46" s="20" t="n">
        <v>85500</v>
      </c>
      <c r="C46" s="20" t="n">
        <v>89500</v>
      </c>
      <c r="D46" s="20" t="n">
        <v>95500</v>
      </c>
      <c r="E46" s="20" t="n">
        <v>102500</v>
      </c>
      <c r="F46" s="20" t="n">
        <v>108500</v>
      </c>
      <c r="G46" s="20" t="n">
        <v>113500</v>
      </c>
      <c r="H46" s="20" t="n">
        <v>117500</v>
      </c>
      <c r="I46" s="20" t="n">
        <v>121000</v>
      </c>
      <c r="J46" s="20" t="n">
        <v>124000</v>
      </c>
    </row>
    <row r="47">
      <c r="A47" s="29" t="inlineStr">
        <is>
          <t>庫藏股</t>
        </is>
      </c>
      <c r="B47" s="20" t="n">
        <v>0</v>
      </c>
      <c r="C47" s="20" t="n">
        <v>0</v>
      </c>
      <c r="D47" s="20" t="n">
        <v>0</v>
      </c>
      <c r="E47" s="20" t="n">
        <v>0</v>
      </c>
      <c r="F47" s="20" t="n">
        <v>0</v>
      </c>
      <c r="G47" s="20" t="n">
        <v>0</v>
      </c>
      <c r="H47" s="20" t="n">
        <v>0</v>
      </c>
      <c r="I47" s="20" t="n">
        <v>0</v>
      </c>
      <c r="J47" s="20" t="n">
        <v>0</v>
      </c>
    </row>
    <row r="48">
      <c r="A48" s="29" t="inlineStr">
        <is>
          <t>保留盈餘（累計）</t>
        </is>
      </c>
      <c r="B48" s="20" t="n">
        <v>7769</v>
      </c>
      <c r="C48" s="20" t="n">
        <v>39307</v>
      </c>
      <c r="D48" s="20" t="n">
        <v>99333</v>
      </c>
      <c r="E48" s="20" t="n">
        <v>210035</v>
      </c>
      <c r="F48" s="20" t="n">
        <v>338035</v>
      </c>
      <c r="G48" s="20" t="n">
        <v>488535</v>
      </c>
      <c r="H48" s="20" t="n">
        <v>659035</v>
      </c>
      <c r="I48" s="20" t="n">
        <v>848035</v>
      </c>
      <c r="J48" s="20" t="n">
        <v>1053035</v>
      </c>
    </row>
    <row r="49">
      <c r="A49" s="29" t="inlineStr">
        <is>
          <t>累計其他綜合收益</t>
        </is>
      </c>
      <c r="B49" s="20" t="n">
        <v>-500</v>
      </c>
      <c r="C49" s="20" t="n">
        <v>2500</v>
      </c>
      <c r="D49" s="20" t="n">
        <v>-1500</v>
      </c>
      <c r="E49" s="20" t="n">
        <v>3500</v>
      </c>
      <c r="F49" s="20" t="n">
        <v>2500</v>
      </c>
      <c r="G49" s="20" t="n">
        <v>2500</v>
      </c>
      <c r="H49" s="20" t="n">
        <v>2500</v>
      </c>
      <c r="I49" s="20" t="n">
        <v>2500</v>
      </c>
      <c r="J49" s="20" t="n">
        <v>2500</v>
      </c>
    </row>
    <row r="50">
      <c r="A50" s="21" t="inlineStr">
        <is>
          <t>股東權益總額</t>
        </is>
      </c>
      <c r="B50" s="22">
        <f>SUM(B46:B49)</f>
        <v/>
      </c>
      <c r="C50" s="22">
        <f>SUM(C46:C49)</f>
        <v/>
      </c>
      <c r="D50" s="22">
        <f>SUM(D46:D49)</f>
        <v/>
      </c>
      <c r="E50" s="22">
        <f>SUM(E46:E49)</f>
        <v/>
      </c>
      <c r="F50" s="22">
        <f>SUM(F46:F49)</f>
        <v/>
      </c>
      <c r="G50" s="22">
        <f>SUM(G46:G49)</f>
        <v/>
      </c>
      <c r="H50" s="22">
        <f>SUM(H46:H49)</f>
        <v/>
      </c>
      <c r="I50" s="22">
        <f>SUM(I46:I49)</f>
        <v/>
      </c>
      <c r="J50" s="22">
        <f>SUM(J46:J49)</f>
        <v/>
      </c>
    </row>
    <row r="52">
      <c r="A52" s="21" t="inlineStr">
        <is>
          <t>負債與股東權益總額</t>
        </is>
      </c>
      <c r="B52" s="22">
        <f>B43+B50</f>
        <v/>
      </c>
      <c r="C52" s="22">
        <f>C43+C50</f>
        <v/>
      </c>
      <c r="D52" s="22">
        <f>D43+D50</f>
        <v/>
      </c>
      <c r="E52" s="22">
        <f>E43+E50</f>
        <v/>
      </c>
      <c r="F52" s="22">
        <f>F43+F50</f>
        <v/>
      </c>
      <c r="G52" s="22">
        <f>G43+G50</f>
        <v/>
      </c>
      <c r="H52" s="22">
        <f>H43+H50</f>
        <v/>
      </c>
      <c r="I52" s="22">
        <f>I43+I50</f>
        <v/>
      </c>
      <c r="J52" s="22">
        <f>J43+J50</f>
        <v/>
      </c>
    </row>
    <row r="54">
      <c r="A54" s="25" t="inlineStr">
        <is>
          <t>平衡驗證（資產總額 - 負債權益總額，應 = 0）</t>
        </is>
      </c>
      <c r="B54" s="34">
        <f>B25-B52</f>
        <v/>
      </c>
      <c r="C54" s="34">
        <f>C25-C52</f>
        <v/>
      </c>
      <c r="D54" s="34">
        <f>D25-D52</f>
        <v/>
      </c>
      <c r="E54" s="34">
        <f>E25-E52</f>
        <v/>
      </c>
      <c r="F54" s="34">
        <f>F25-F52</f>
        <v/>
      </c>
      <c r="G54" s="34">
        <f>G25-G52</f>
        <v/>
      </c>
      <c r="H54" s="34">
        <f>H25-H52</f>
        <v/>
      </c>
      <c r="I54" s="34">
        <f>I25-I52</f>
        <v/>
      </c>
      <c r="J54" s="34">
        <f>J25-J52</f>
        <v/>
      </c>
    </row>
    <row r="56">
      <c r="A56" s="4" t="inlineStr">
        <is>
          <t>關鍵資產負債表比率</t>
        </is>
      </c>
    </row>
    <row r="57">
      <c r="A57" s="29" t="inlineStr">
        <is>
          <t>流動比率（流動資產 / 流動負債）</t>
        </is>
      </c>
      <c r="B57" s="35">
        <f>B12/B34</f>
        <v/>
      </c>
      <c r="C57" s="35">
        <f>C12/C34</f>
        <v/>
      </c>
      <c r="D57" s="35">
        <f>D12/D34</f>
        <v/>
      </c>
      <c r="E57" s="35">
        <f>E12/E34</f>
        <v/>
      </c>
      <c r="F57" s="35">
        <f>F12/F34</f>
        <v/>
      </c>
      <c r="G57" s="35">
        <f>G12/G34</f>
        <v/>
      </c>
      <c r="H57" s="35">
        <f>H12/H34</f>
        <v/>
      </c>
      <c r="I57" s="35">
        <f>I12/I34</f>
        <v/>
      </c>
      <c r="J57" s="35">
        <f>J12/J34</f>
        <v/>
      </c>
    </row>
    <row r="58">
      <c r="A58" s="29" t="inlineStr">
        <is>
          <t>現金 + 短期投資</t>
        </is>
      </c>
      <c r="B58" s="20">
        <f>(B6+B7)</f>
        <v/>
      </c>
      <c r="C58" s="20">
        <f>(C6+C7)</f>
        <v/>
      </c>
      <c r="D58" s="20">
        <f>(D6+D7)</f>
        <v/>
      </c>
      <c r="E58" s="20">
        <f>(E6+E7)</f>
        <v/>
      </c>
      <c r="F58" s="20">
        <f>(F6+F7)</f>
        <v/>
      </c>
      <c r="G58" s="20">
        <f>(G6+G7)</f>
        <v/>
      </c>
      <c r="H58" s="20">
        <f>(H6+H7)</f>
        <v/>
      </c>
      <c r="I58" s="20">
        <f>(I6+I7)</f>
        <v/>
      </c>
      <c r="J58" s="20">
        <f>(J6+J7)</f>
        <v/>
      </c>
    </row>
    <row r="59">
      <c r="A59" s="29" t="inlineStr">
        <is>
          <t>負債權益比</t>
        </is>
      </c>
      <c r="B59" s="35">
        <f>(B31+B37)/B50</f>
        <v/>
      </c>
      <c r="C59" s="35">
        <f>(C31+C37)/C50</f>
        <v/>
      </c>
      <c r="D59" s="35">
        <f>(D31+D37)/D50</f>
        <v/>
      </c>
      <c r="E59" s="35">
        <f>(E31+E37)/E50</f>
        <v/>
      </c>
      <c r="F59" s="35">
        <f>(F31+F37)/F50</f>
        <v/>
      </c>
      <c r="G59" s="35">
        <f>(G31+G37)/G50</f>
        <v/>
      </c>
      <c r="H59" s="35">
        <f>(H31+H37)/H50</f>
        <v/>
      </c>
      <c r="I59" s="35">
        <f>(I31+I37)/I50</f>
        <v/>
      </c>
      <c r="J59" s="35">
        <f>(J31+J37)/J50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PDD Holdings — 情境分析（樂觀 / 基本 / 悲觀）</t>
        </is>
      </c>
    </row>
    <row r="2">
      <c r="A2" s="3" t="inlineStr">
        <is>
          <t>三種情境下 5 年（2025E-2029E）預測比較</t>
        </is>
      </c>
    </row>
    <row r="4">
      <c r="A4" s="36" t="inlineStr">
        <is>
          <t>指標</t>
        </is>
      </c>
      <c r="B4" s="37" t="inlineStr">
        <is>
          <t>樂觀情境</t>
        </is>
      </c>
      <c r="C4" s="37" t="inlineStr">
        <is>
          <t>基本情境</t>
        </is>
      </c>
      <c r="D4" s="37" t="inlineStr">
        <is>
          <t>悲觀情境</t>
        </is>
      </c>
      <c r="E4" s="37" t="inlineStr">
        <is>
          <t>說明</t>
        </is>
      </c>
    </row>
    <row r="5">
      <c r="A5" s="25" t="inlineStr">
        <is>
          <t>關鍵假設（2025E-2029E）</t>
        </is>
      </c>
    </row>
    <row r="6">
      <c r="A6" s="23" t="inlineStr">
        <is>
          <t>收入 CAGR 2024-2029E</t>
        </is>
      </c>
      <c r="B6" s="38" t="n">
        <v>0.225</v>
      </c>
      <c r="C6" s="38" t="n">
        <v>0.165</v>
      </c>
      <c r="D6" s="38" t="n">
        <v>0.08500000000000001</v>
      </c>
      <c r="E6" s="39" t="inlineStr">
        <is>
          <t>樂觀：Temu 維持 40%+ 成長；悲觀：監管衝擊</t>
        </is>
      </c>
    </row>
    <row r="7">
      <c r="A7" s="23" t="inlineStr">
        <is>
          <t>Temu CAGR 2024-2029E</t>
        </is>
      </c>
      <c r="B7" s="38" t="n">
        <v>0.35</v>
      </c>
      <c r="C7" s="38" t="n">
        <v>0.225</v>
      </c>
      <c r="D7" s="38" t="n">
        <v>0.1</v>
      </c>
      <c r="E7" s="39" t="inlineStr">
        <is>
          <t>樂觀：Local-to-Local 模式成功；悲觀：de minimis 取消 + 關稅拖累</t>
        </is>
      </c>
    </row>
    <row r="8">
      <c r="A8" s="23" t="inlineStr">
        <is>
          <t>拼多多中國 CAGR</t>
        </is>
      </c>
      <c r="B8" s="38" t="n">
        <v>0.11</v>
      </c>
      <c r="C8" s="38" t="n">
        <v>0.075</v>
      </c>
      <c r="D8" s="38" t="n">
        <v>0.02</v>
      </c>
      <c r="E8" s="39" t="inlineStr">
        <is>
          <t>樂觀：份額持續擴大；悲觀：消費疲軟 + 競爭加劇</t>
        </is>
      </c>
    </row>
    <row r="9">
      <c r="A9" s="23" t="inlineStr">
        <is>
          <t>2029E 毛利率 %</t>
        </is>
      </c>
      <c r="B9" s="38" t="n">
        <v>0.62</v>
      </c>
      <c r="C9" s="38" t="n">
        <v>0.585</v>
      </c>
      <c r="D9" s="38" t="n">
        <v>0.54</v>
      </c>
      <c r="E9" s="39" t="inlineStr">
        <is>
          <t>樂觀：規模槓桿；悲觀：Temu 結構性拖累</t>
        </is>
      </c>
    </row>
    <row r="10">
      <c r="A10" s="23" t="inlineStr">
        <is>
          <t>2029E EBIT 利潤率 %</t>
        </is>
      </c>
      <c r="B10" s="38" t="n">
        <v>0.36</v>
      </c>
      <c r="C10" s="38" t="n">
        <v>0.305</v>
      </c>
      <c r="D10" s="38" t="n">
        <v>0.22</v>
      </c>
      <c r="E10" s="39" t="inlineStr">
        <is>
          <t>營運槓桿假設</t>
        </is>
      </c>
    </row>
    <row r="11">
      <c r="A11" s="23" t="inlineStr">
        <is>
          <t>2029E 實際稅率</t>
        </is>
      </c>
      <c r="B11" s="38" t="n">
        <v>0.115</v>
      </c>
      <c r="C11" s="38" t="n">
        <v>0.13</v>
      </c>
      <c r="D11" s="38" t="n">
        <v>0.15</v>
      </c>
      <c r="E11" s="39" t="inlineStr">
        <is>
          <t>稅收優惠退場假設</t>
        </is>
      </c>
    </row>
    <row r="12">
      <c r="A12" s="23" t="inlineStr">
        <is>
          <t>2029E S&amp;M 佔收入比例</t>
        </is>
      </c>
      <c r="B12" s="38" t="n">
        <v>0.205</v>
      </c>
      <c r="C12" s="38" t="n">
        <v>0.225</v>
      </c>
      <c r="D12" s="38" t="n">
        <v>0.255</v>
      </c>
      <c r="E12" s="39" t="inlineStr">
        <is>
          <t>樂觀：Temu CAC 穩定；悲觀：持續高促銷支出</t>
        </is>
      </c>
    </row>
    <row r="13">
      <c r="A13" s="23" t="inlineStr">
        <is>
          <t>CapEx 佔收入比例</t>
        </is>
      </c>
      <c r="B13" s="38" t="n">
        <v>0.025</v>
      </c>
      <c r="C13" s="38" t="n">
        <v>0.03</v>
      </c>
      <c r="D13" s="38" t="n">
        <v>0.035</v>
      </c>
      <c r="E13" s="39" t="inlineStr">
        <is>
          <t>基礎設施投資水準</t>
        </is>
      </c>
    </row>
    <row r="15">
      <c r="A15" s="25" t="inlineStr">
        <is>
          <t>2029E 輸出結果（人民幣百萬元）</t>
        </is>
      </c>
    </row>
    <row r="16">
      <c r="A16" s="23" t="inlineStr">
        <is>
          <t>2029E 收入</t>
        </is>
      </c>
      <c r="B16" s="34" t="n">
        <v>1083500</v>
      </c>
      <c r="C16" s="34" t="n">
        <v>850000</v>
      </c>
      <c r="D16" s="34" t="n">
        <v>590000</v>
      </c>
      <c r="E16" s="8" t="inlineStr">
        <is>
          <t>樂觀 / 基本 / 悲觀情境</t>
        </is>
      </c>
    </row>
    <row r="17">
      <c r="A17" s="23" t="inlineStr">
        <is>
          <t>2029E 毛利</t>
        </is>
      </c>
      <c r="B17" s="34" t="n">
        <v>671770</v>
      </c>
      <c r="C17" s="34" t="n">
        <v>497250</v>
      </c>
      <c r="D17" s="34" t="n">
        <v>318600</v>
      </c>
      <c r="E17" s="8" t="inlineStr">
        <is>
          <t>套用情境毛利率</t>
        </is>
      </c>
    </row>
    <row r="18">
      <c r="A18" s="23" t="inlineStr">
        <is>
          <t>2029E EBIT</t>
        </is>
      </c>
      <c r="B18" s="34" t="n">
        <v>390060</v>
      </c>
      <c r="C18" s="34" t="n">
        <v>259250</v>
      </c>
      <c r="D18" s="34" t="n">
        <v>129800</v>
      </c>
      <c r="E18" s="8" t="inlineStr">
        <is>
          <t>套用情境 EBIT 利潤率</t>
        </is>
      </c>
    </row>
    <row r="19">
      <c r="A19" s="23" t="inlineStr">
        <is>
          <t>2029E EBITDA</t>
        </is>
      </c>
      <c r="B19" s="34" t="n">
        <v>396060</v>
      </c>
      <c r="C19" s="34" t="n">
        <v>263650</v>
      </c>
      <c r="D19" s="34" t="n">
        <v>133500</v>
      </c>
      <c r="E19" s="8" t="inlineStr">
        <is>
          <t>EBIT + 折舊攤銷</t>
        </is>
      </c>
    </row>
    <row r="20">
      <c r="A20" s="23" t="inlineStr">
        <is>
          <t>2029E 淨利潤（Non-GAAP）</t>
        </is>
      </c>
      <c r="B20" s="34" t="n">
        <v>358000</v>
      </c>
      <c r="C20" s="34" t="n">
        <v>240000</v>
      </c>
      <c r="D20" s="34" t="n">
        <v>122000</v>
      </c>
      <c r="E20" s="8" t="inlineStr">
        <is>
          <t>扣除利息收入與所得稅後</t>
        </is>
      </c>
    </row>
    <row r="21">
      <c r="A21" s="23" t="inlineStr">
        <is>
          <t>2029E Non-GAAP EPS（人民幣）</t>
        </is>
      </c>
      <c r="B21" s="40" t="n">
        <v>238.7</v>
      </c>
      <c r="C21" s="40" t="n">
        <v>160</v>
      </c>
      <c r="D21" s="40" t="n">
        <v>81.3</v>
      </c>
      <c r="E21" s="8" t="inlineStr">
        <is>
          <t>淨利潤 / 15 億股</t>
        </is>
      </c>
    </row>
    <row r="22">
      <c r="A22" s="23" t="inlineStr">
        <is>
          <t>2029E Non-GAAP EPS（美元）</t>
        </is>
      </c>
      <c r="B22" s="40" t="n">
        <v>33.15</v>
      </c>
      <c r="C22" s="40" t="n">
        <v>22.22</v>
      </c>
      <c r="D22" s="40" t="n">
        <v>11.29</v>
      </c>
      <c r="E22" s="8" t="inlineStr">
        <is>
          <t>匯率 7.20</t>
        </is>
      </c>
    </row>
    <row r="23">
      <c r="A23" s="23" t="inlineStr">
        <is>
          <t>2029E 自由現金流</t>
        </is>
      </c>
      <c r="B23" s="34" t="n">
        <v>340000</v>
      </c>
      <c r="C23" s="34" t="n">
        <v>235000</v>
      </c>
      <c r="D23" s="34" t="n">
        <v>105000</v>
      </c>
      <c r="E23" s="8" t="inlineStr">
        <is>
          <t>估計無槓桿 FCF</t>
        </is>
      </c>
    </row>
    <row r="24">
      <c r="A24" s="23" t="inlineStr">
        <is>
          <t>2029E FCF 利潤率 %</t>
        </is>
      </c>
      <c r="B24" s="24" t="n">
        <v>0.314</v>
      </c>
      <c r="C24" s="24" t="n">
        <v>0.276</v>
      </c>
      <c r="D24" s="24" t="n">
        <v>0.178</v>
      </c>
      <c r="E24" s="8" t="inlineStr">
        <is>
          <t>FCF / 收入</t>
        </is>
      </c>
    </row>
    <row r="25">
      <c r="A25" s="23" t="inlineStr">
        <is>
          <t>累計 FCF 2025-2029E</t>
        </is>
      </c>
      <c r="B25" s="34" t="n">
        <v>1350000</v>
      </c>
      <c r="C25" s="34" t="n">
        <v>1050000</v>
      </c>
      <c r="D25" s="34" t="n">
        <v>620000</v>
      </c>
      <c r="E25" s="8" t="inlineStr">
        <is>
          <t>5 年合計</t>
        </is>
      </c>
    </row>
    <row r="28">
      <c r="A28" s="4" t="inlineStr">
        <is>
          <t>情境邏輯說明</t>
        </is>
      </c>
    </row>
    <row r="29">
      <c r="A29" s="41" t="inlineStr">
        <is>
          <t>樂觀情境：</t>
        </is>
      </c>
    </row>
    <row r="30" ht="45" customHeight="1">
      <c r="A30" s="42" t="inlineStr">
        <is>
          <t>Temu 成功轉型至半託管 + Local-to-Local 模式，完全消化 de minimis 政策變動。拼多多中國以低價護城河持續搶佔份額。營運槓桿推動利潤率擴張。稅收優惠延續。</t>
        </is>
      </c>
    </row>
    <row r="32">
      <c r="A32" s="41" t="inlineStr">
        <is>
          <t>基本情境：</t>
        </is>
      </c>
    </row>
    <row r="33" ht="45" customHeight="1">
      <c r="A33" s="42" t="inlineStr">
        <is>
          <t>Temu 在監管逆風下進行溫和的利潤率壓縮。拼多多中國維持中高個位數穩定成長。透過成本紀律逐步改善營業利潤率。</t>
        </is>
      </c>
    </row>
    <row r="35">
      <c r="A35" s="41" t="inlineStr">
        <is>
          <t>悲觀情境：</t>
        </is>
      </c>
    </row>
    <row r="36" ht="55" customHeight="1">
      <c r="A36" s="42" t="inlineStr">
        <is>
          <t>多重逆風同時實現：中美關係升級、TikTok Shop/Shein 在 Temu 核心市場搶佔份額、中國消費疲軟持續。SBC 與促銷支出居高不下。稅收優惠逐步退場。</t>
        </is>
      </c>
    </row>
  </sheetData>
  <mergeCells count="3">
    <mergeCell ref="A30:E30"/>
    <mergeCell ref="A36:E36"/>
    <mergeCell ref="A33:E3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5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PDD Holdings — DCF 輸入（人民幣百萬元）</t>
        </is>
      </c>
    </row>
    <row r="2">
      <c r="A2" s="3" t="inlineStr">
        <is>
          <t>供 Task 3 估值使用的無槓桿自由現金流預測</t>
        </is>
      </c>
    </row>
    <row r="4">
      <c r="A4" s="36" t="inlineStr">
        <is>
          <t>指標</t>
        </is>
      </c>
      <c r="B4" s="37" t="inlineStr">
        <is>
          <t>2025E</t>
        </is>
      </c>
      <c r="C4" s="37" t="inlineStr">
        <is>
          <t>2026E</t>
        </is>
      </c>
      <c r="D4" s="37" t="inlineStr">
        <is>
          <t>2027E</t>
        </is>
      </c>
      <c r="E4" s="37" t="inlineStr">
        <is>
          <t>2028E</t>
        </is>
      </c>
      <c r="F4" s="37" t="inlineStr">
        <is>
          <t>2029E</t>
        </is>
      </c>
    </row>
    <row r="5">
      <c r="A5" s="43" t="inlineStr">
        <is>
          <t>收入</t>
        </is>
      </c>
    </row>
    <row r="6">
      <c r="A6" s="44" t="inlineStr">
        <is>
          <t>收入</t>
        </is>
      </c>
      <c r="B6" s="45">
        <f>損益表!F6</f>
        <v/>
      </c>
      <c r="C6" s="45">
        <f>損益表!G6</f>
        <v/>
      </c>
      <c r="D6" s="45">
        <f>損益表!H6</f>
        <v/>
      </c>
      <c r="E6" s="45">
        <f>損益表!I6</f>
        <v/>
      </c>
      <c r="F6" s="45">
        <f>損益表!J6</f>
        <v/>
      </c>
    </row>
    <row r="7">
      <c r="A7" s="23" t="inlineStr">
        <is>
          <t xml:space="preserve">  YoY 成長率 %</t>
        </is>
      </c>
      <c r="B7" s="24">
        <f>B6/損益表!E6-1</f>
        <v/>
      </c>
      <c r="C7" s="24">
        <f>C6/B6-1</f>
        <v/>
      </c>
      <c r="D7" s="24">
        <f>D6/C6-1</f>
        <v/>
      </c>
      <c r="E7" s="24">
        <f>E6/D6-1</f>
        <v/>
      </c>
      <c r="F7" s="24">
        <f>F6/E6-1</f>
        <v/>
      </c>
    </row>
    <row r="9">
      <c r="A9" s="44" t="inlineStr">
        <is>
          <t>EBIT</t>
        </is>
      </c>
      <c r="B9" s="45">
        <f>損益表!F44</f>
        <v/>
      </c>
      <c r="C9" s="45">
        <f>損益表!G44</f>
        <v/>
      </c>
      <c r="D9" s="45">
        <f>損益表!H44</f>
        <v/>
      </c>
      <c r="E9" s="45">
        <f>損益表!I44</f>
        <v/>
      </c>
      <c r="F9" s="45">
        <f>損益表!J44</f>
        <v/>
      </c>
    </row>
    <row r="10">
      <c r="A10" s="23" t="inlineStr">
        <is>
          <t xml:space="preserve">  EBIT 利潤率 %</t>
        </is>
      </c>
      <c r="B10" s="24">
        <f>B9/B6</f>
        <v/>
      </c>
      <c r="C10" s="24">
        <f>C9/C6</f>
        <v/>
      </c>
      <c r="D10" s="24">
        <f>D9/D6</f>
        <v/>
      </c>
      <c r="E10" s="24">
        <f>E9/E6</f>
        <v/>
      </c>
      <c r="F10" s="24">
        <f>F9/F6</f>
        <v/>
      </c>
    </row>
    <row r="11">
      <c r="A11" s="46" t="inlineStr">
        <is>
          <t>實際稅率 %</t>
        </is>
      </c>
      <c r="B11" s="38" t="n">
        <v>0.13</v>
      </c>
      <c r="C11" s="38" t="n">
        <v>0.135</v>
      </c>
      <c r="D11" s="38" t="n">
        <v>0.14</v>
      </c>
      <c r="E11" s="38" t="n">
        <v>0.145</v>
      </c>
      <c r="F11" s="38" t="n">
        <v>0.15</v>
      </c>
    </row>
    <row r="12">
      <c r="A12" s="47" t="inlineStr">
        <is>
          <t>NOPAT（EBIT × (1-T)）</t>
        </is>
      </c>
      <c r="B12" s="48">
        <f>B9*(1-B11)</f>
        <v/>
      </c>
      <c r="C12" s="48">
        <f>C9*(1-C11)</f>
        <v/>
      </c>
      <c r="D12" s="48">
        <f>D9*(1-D11)</f>
        <v/>
      </c>
      <c r="E12" s="48">
        <f>E9*(1-E11)</f>
        <v/>
      </c>
      <c r="F12" s="48">
        <f>F9*(1-F11)</f>
        <v/>
      </c>
    </row>
    <row r="14">
      <c r="A14" s="44" t="inlineStr">
        <is>
          <t>加：折舊與攤銷</t>
        </is>
      </c>
      <c r="B14" s="45">
        <f>損益表!F36</f>
        <v/>
      </c>
      <c r="C14" s="45">
        <f>損益表!G36</f>
        <v/>
      </c>
      <c r="D14" s="45">
        <f>損益表!H36</f>
        <v/>
      </c>
      <c r="E14" s="45">
        <f>損益表!I36</f>
        <v/>
      </c>
      <c r="F14" s="45">
        <f>損益表!J36</f>
        <v/>
      </c>
    </row>
    <row r="15">
      <c r="A15" s="44" t="inlineStr">
        <is>
          <t>減：資本支出</t>
        </is>
      </c>
      <c r="B15" s="45">
        <f>現金流量表!F19</f>
        <v/>
      </c>
      <c r="C15" s="45">
        <f>現金流量表!G19</f>
        <v/>
      </c>
      <c r="D15" s="45">
        <f>現金流量表!H19</f>
        <v/>
      </c>
      <c r="E15" s="45">
        <f>現金流量表!I19</f>
        <v/>
      </c>
      <c r="F15" s="45">
        <f>現金流量表!J19</f>
        <v/>
      </c>
    </row>
    <row r="16">
      <c r="A16" s="46" t="inlineStr">
        <is>
          <t>減：Δ 淨營運資金</t>
        </is>
      </c>
      <c r="B16" s="49" t="n">
        <v>-18000</v>
      </c>
      <c r="C16" s="49" t="n">
        <v>-16500</v>
      </c>
      <c r="D16" s="49" t="n">
        <v>-15500</v>
      </c>
      <c r="E16" s="49" t="n">
        <v>-13500</v>
      </c>
      <c r="F16" s="49" t="n">
        <v>-11500</v>
      </c>
    </row>
    <row r="18">
      <c r="A18" s="47" t="inlineStr">
        <is>
          <t>無槓桿自由現金流（UFCF）</t>
        </is>
      </c>
      <c r="B18" s="48">
        <f>B12+B14+B15+B16</f>
        <v/>
      </c>
      <c r="C18" s="48">
        <f>C12+C14+C15+C16</f>
        <v/>
      </c>
      <c r="D18" s="48">
        <f>D12+D14+D15+D16</f>
        <v/>
      </c>
      <c r="E18" s="48">
        <f>E12+E14+E15+E16</f>
        <v/>
      </c>
      <c r="F18" s="48">
        <f>F12+F14+F15+F16</f>
        <v/>
      </c>
    </row>
    <row r="19">
      <c r="A19" s="23" t="inlineStr">
        <is>
          <t xml:space="preserve">  UFCF 利潤率 %</t>
        </is>
      </c>
      <c r="B19" s="24">
        <f>B18/B6</f>
        <v/>
      </c>
      <c r="C19" s="24">
        <f>C18/C6</f>
        <v/>
      </c>
      <c r="D19" s="24">
        <f>D18/D6</f>
        <v/>
      </c>
      <c r="E19" s="24">
        <f>E18/E6</f>
        <v/>
      </c>
      <c r="F19" s="24">
        <f>F18/F6</f>
        <v/>
      </c>
    </row>
    <row r="22">
      <c r="A22" s="36" t="inlineStr">
        <is>
          <t>終值年（2029E）關鍵指標</t>
        </is>
      </c>
    </row>
    <row r="23">
      <c r="A23" s="6" t="inlineStr">
        <is>
          <t>2029E 收入</t>
        </is>
      </c>
      <c r="B23" s="34">
        <f>F6</f>
        <v/>
      </c>
    </row>
    <row r="24">
      <c r="A24" s="6" t="inlineStr">
        <is>
          <t>2029E EBITDA</t>
        </is>
      </c>
      <c r="B24" s="45">
        <f>損益表!J41</f>
        <v/>
      </c>
    </row>
    <row r="25">
      <c r="A25" s="6" t="inlineStr">
        <is>
          <t>2029E EBIT</t>
        </is>
      </c>
      <c r="B25" s="34">
        <f>F9</f>
        <v/>
      </c>
    </row>
    <row r="26">
      <c r="A26" s="6" t="inlineStr">
        <is>
          <t>2029E NOPAT</t>
        </is>
      </c>
      <c r="B26" s="34">
        <f>F12</f>
        <v/>
      </c>
    </row>
    <row r="27">
      <c r="A27" s="47" t="inlineStr">
        <is>
          <t>2029E 無槓桿 FCF</t>
        </is>
      </c>
      <c r="B27" s="48">
        <f>F18</f>
        <v/>
      </c>
    </row>
    <row r="30">
      <c r="A30" s="36" t="inlineStr">
        <is>
          <t>供 Task 3 估值參考</t>
        </is>
      </c>
    </row>
    <row r="31">
      <c r="A31" s="6" t="inlineStr">
        <is>
          <t>淨現金（現金 + 短期投資 - 負債），截至 2024</t>
        </is>
      </c>
      <c r="B31" s="49" t="n">
        <v>433000</v>
      </c>
      <c r="C31" s="8" t="inlineStr">
        <is>
          <t>依 2024A 資產負債表</t>
        </is>
      </c>
    </row>
    <row r="32">
      <c r="A32" s="6" t="inlineStr">
        <is>
          <t>稀釋後流通 ADS（百萬股）</t>
        </is>
      </c>
      <c r="B32" s="49" t="n">
        <v>1450</v>
      </c>
      <c r="C32" s="8" t="inlineStr">
        <is>
          <t>FY2024</t>
        </is>
      </c>
    </row>
    <row r="33">
      <c r="A33" s="6" t="inlineStr">
        <is>
          <t>參考市值（美元十億）</t>
        </is>
      </c>
      <c r="B33" s="49" t="n">
        <v>150</v>
      </c>
      <c r="C33" s="8" t="inlineStr">
        <is>
          <t>PDD 股價約 $110-115（2026 年 5 月）</t>
        </is>
      </c>
    </row>
    <row r="34">
      <c r="A34" s="6" t="inlineStr">
        <is>
          <t>參考企業價值（美元十億）</t>
        </is>
      </c>
      <c r="B34" s="49" t="n">
        <v>90</v>
      </c>
      <c r="C34" s="8" t="inlineStr">
        <is>
          <t>市值 - 淨現金</t>
        </is>
      </c>
    </row>
    <row r="35">
      <c r="A35" s="6" t="inlineStr">
        <is>
          <t>USD/RMB 匯率</t>
        </is>
      </c>
      <c r="B35" s="49" t="n">
        <v>7.2</v>
      </c>
      <c r="C35" s="8" t="inlineStr">
        <is>
          <t>連結至封面與假設</t>
        </is>
      </c>
    </row>
    <row r="36">
      <c r="A36" s="6" t="inlineStr">
        <is>
          <t>建議 WACC 區間</t>
        </is>
      </c>
      <c r="B36" s="50" t="inlineStr">
        <is>
          <t>10.0% - 11.5%</t>
        </is>
      </c>
      <c r="C36" s="8" t="inlineStr">
        <is>
          <t>中國折讓 + 權益成本加權</t>
        </is>
      </c>
    </row>
    <row r="37">
      <c r="A37" s="6" t="inlineStr">
        <is>
          <t>建議永續成長率 g 區間</t>
        </is>
      </c>
      <c r="B37" s="50" t="inlineStr">
        <is>
          <t>2.5% - 3.5%</t>
        </is>
      </c>
      <c r="C37" s="8" t="inlineStr">
        <is>
          <t>長期 GDP + 電商滲透率提升</t>
        </is>
      </c>
    </row>
    <row r="38">
      <c r="A38" s="6" t="inlineStr">
        <is>
          <t>建議方法論</t>
        </is>
      </c>
      <c r="B38" s="50" t="inlineStr">
        <is>
          <t>DCF + 可比公司分析（BABA, JD, AMZN, MELI, SE, SHOP）</t>
        </is>
      </c>
      <c r="C38" s="8" t="inlineStr">
        <is>
          <t>供 Task 3 使用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2026-05-25T14:05:30Z</dcterms:created>
  <dcterms:modified xmlns:dcterms="http://purl.org/dc/terms/" xmlns:xsi="http://www.w3.org/2001/XMLSchema-instance" xsi:type="dcterms:W3CDTF">2026-05-25T14:51:31Z</dcterms:modified>
</cp:coreProperties>
</file>