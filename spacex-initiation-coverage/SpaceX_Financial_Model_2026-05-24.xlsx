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venue Model" sheetId="1" state="visible" r:id="rId1"/>
    <sheet name="Income Statement" sheetId="2" state="visible" r:id="rId2"/>
    <sheet name="Cash Flow Statement" sheetId="3" state="visible" r:id="rId3"/>
    <sheet name="Balance Sheet" sheetId="4" state="visible" r:id="rId4"/>
    <sheet name="Scenarios" sheetId="5" state="visible" r:id="rId5"/>
    <sheet name="DCF Inputs" sheetId="6" state="visible" r:id="rId6"/>
    <sheet name="DCF Analysis" sheetId="7" state="visible" r:id="rId7"/>
    <sheet name="Sensitivity Analysis" sheetId="8" state="visible" r:id="rId8"/>
    <sheet name="Comparable Companies" sheetId="9" state="visible" r:id="rId9"/>
    <sheet name="SOTP Analysis" sheetId="10" state="visible" r:id="rId10"/>
    <sheet name="Valuation Summary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$0.00"/>
    <numFmt numFmtId="166" formatCode="#,##0.0"/>
    <numFmt numFmtId="167" formatCode="0.0000"/>
    <numFmt numFmtId="168" formatCode="&quot;$&quot;#,##0"/>
    <numFmt numFmtId="169" formatCode="0.0&quot;x&quot;"/>
    <numFmt numFmtId="170" formatCode="&quot;$&quot;#,##0.0"/>
    <numFmt numFmtId="171" formatCode="0.0x"/>
    <numFmt numFmtId="172" formatCode="$#,##0"/>
    <numFmt numFmtId="173" formatCode="$#,##0.0"/>
  </numFmts>
  <fonts count="39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i val="1"/>
      <color rgb="00595959"/>
      <sz val="8"/>
    </font>
    <font>
      <name val="Calibri"/>
      <b val="1"/>
      <color rgb="00FFFFFF"/>
      <sz val="10"/>
    </font>
    <font>
      <name val="Calibri"/>
      <b val="1"/>
      <color rgb="00FFFFFF"/>
      <sz val="9"/>
    </font>
    <font>
      <name val="Calibri"/>
      <color rgb="00000000"/>
      <sz val="9"/>
    </font>
    <font>
      <name val="Calibri"/>
      <color rgb="000070C0"/>
      <sz val="9"/>
    </font>
    <font>
      <name val="Calibri"/>
      <b val="1"/>
      <color rgb="00000000"/>
      <sz val="9"/>
    </font>
    <font>
      <name val="Calibri"/>
      <b val="1"/>
      <sz val="9"/>
    </font>
    <font>
      <name val="Calibri"/>
      <i val="1"/>
      <color rgb="00595959"/>
      <sz val="9"/>
    </font>
    <font>
      <name val="Calibri"/>
      <color rgb="00595959"/>
      <sz val="9"/>
    </font>
    <font>
      <name val="Calibri"/>
      <i val="1"/>
      <color rgb="00000000"/>
      <sz val="9"/>
    </font>
    <font>
      <name val="Calibri"/>
      <b val="1"/>
      <color rgb="00FFFFFF"/>
      <sz val="11"/>
    </font>
    <font>
      <name val="Calibri"/>
      <b val="1"/>
      <i val="1"/>
      <color rgb="00FFFFFF"/>
      <sz val="9"/>
    </font>
    <font>
      <name val="Calibri"/>
      <b val="1"/>
      <color rgb="00FF0000"/>
      <sz val="9"/>
    </font>
    <font>
      <name val="Calibri"/>
      <color rgb="00375623"/>
      <sz val="9"/>
    </font>
    <font>
      <name val="Calibri"/>
      <color rgb="002F5496"/>
      <sz val="9"/>
    </font>
    <font>
      <name val="Calibri"/>
      <color rgb="00843C0C"/>
      <sz val="9"/>
    </font>
    <font>
      <name val="Calibri"/>
      <b val="1"/>
      <color rgb="00375623"/>
      <sz val="9"/>
    </font>
    <font>
      <name val="Calibri"/>
      <b val="1"/>
      <color rgb="002F5496"/>
      <sz val="9"/>
    </font>
    <font>
      <name val="Calibri"/>
      <b val="1"/>
      <color rgb="00843C0C"/>
      <sz val="9"/>
    </font>
    <font>
      <name val="Calibri"/>
      <sz val="8"/>
    </font>
    <font>
      <name val="Calibri"/>
      <b val="1"/>
      <i val="1"/>
      <sz val="9"/>
    </font>
    <font>
      <name val="Calibri"/>
      <sz val="9"/>
    </font>
    <font>
      <name val="Calibri"/>
      <b val="1"/>
      <color rgb="000070C0"/>
      <sz val="9"/>
    </font>
    <font>
      <name val="Calibri"/>
      <b val="1"/>
      <color rgb="001F4E78"/>
      <sz val="14"/>
    </font>
    <font>
      <name val="Calibri"/>
      <i val="1"/>
      <color rgb="00595959"/>
      <sz val="10"/>
    </font>
    <font>
      <name val="Calibri"/>
      <color rgb="00000000"/>
      <sz val="10"/>
    </font>
    <font>
      <name val="Calibri"/>
      <color rgb="00808080"/>
      <sz val="10"/>
    </font>
    <font>
      <name val="Calibri"/>
      <b val="1"/>
      <color rgb="00000000"/>
      <sz val="10"/>
    </font>
    <font>
      <name val="Calibri"/>
      <i val="1"/>
      <color rgb="00000000"/>
      <sz val="10"/>
    </font>
    <font>
      <name val="Calibri"/>
      <i val="1"/>
      <color rgb="00C00000"/>
      <sz val="10"/>
    </font>
    <font>
      <name val="Calibri"/>
      <b val="1"/>
      <color rgb="00375623"/>
      <sz val="14"/>
    </font>
    <font>
      <name val="Calibri"/>
      <b val="1"/>
      <color rgb="00375623"/>
      <sz val="10"/>
    </font>
    <font>
      <name val="Calibri"/>
      <color rgb="00595959"/>
      <sz val="10"/>
    </font>
    <font>
      <name val="Calibri"/>
      <b val="1"/>
      <color rgb="00C00000"/>
      <sz val="10"/>
    </font>
    <font>
      <name val="Calibri"/>
      <b val="1"/>
      <color rgb="00843C0C"/>
      <sz val="14"/>
    </font>
    <font>
      <name val="Calibri"/>
      <b val="1"/>
      <sz val="10"/>
    </font>
    <font>
      <name val="Calibri"/>
      <b val="1"/>
      <color rgb="00C00000"/>
      <sz val="14"/>
    </font>
  </fonts>
  <fills count="21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F5496"/>
      </patternFill>
    </fill>
    <fill>
      <patternFill patternType="solid">
        <fgColor rgb="00D6E4F7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375623"/>
      </patternFill>
    </fill>
    <fill>
      <patternFill patternType="solid">
        <fgColor rgb="00843C0C"/>
      </patternFill>
    </fill>
    <fill>
      <patternFill patternType="solid">
        <fgColor rgb="00DDEEFF"/>
      </patternFill>
    </fill>
    <fill>
      <patternFill patternType="solid">
        <fgColor rgb="00FCE4D6"/>
      </patternFill>
    </fill>
    <fill>
      <patternFill patternType="solid">
        <fgColor rgb="00C6EFCE"/>
      </patternFill>
    </fill>
    <fill>
      <patternFill patternType="solid">
        <fgColor rgb="00FDDCBD"/>
      </patternFill>
    </fill>
    <fill>
      <patternFill patternType="solid">
        <fgColor rgb="00F2F2F2"/>
      </patternFill>
    </fill>
    <fill>
      <patternFill patternType="solid">
        <fgColor rgb="00305496"/>
      </patternFill>
    </fill>
    <fill>
      <patternFill patternType="solid">
        <fgColor rgb="001F4E78"/>
      </patternFill>
    </fill>
    <fill>
      <patternFill patternType="solid">
        <fgColor rgb="00FFFF00"/>
      </patternFill>
    </fill>
    <fill>
      <patternFill patternType="solid">
        <fgColor rgb="00DDEBF7"/>
      </patternFill>
    </fill>
    <fill>
      <patternFill patternType="solid">
        <fgColor rgb="00FFE699"/>
      </patternFill>
    </fill>
    <fill>
      <patternFill patternType="solid">
        <fgColor rgb="00C00000"/>
      </patternFill>
    </fill>
    <fill>
      <patternFill patternType="solid">
        <fgColor rgb="00595959"/>
      </patternFill>
    </fill>
  </fills>
  <borders count="5">
    <border>
      <left/>
      <right/>
      <top/>
      <bottom/>
      <diagonal/>
    </border>
    <border>
      <top style="thin"/>
      <bottom style="double"/>
    </border>
    <border>
      <top style="thin">
        <color rgb="00000000"/>
      </top>
      <bottom style="double">
        <color rgb="00000000"/>
      </bottom>
    </border>
    <border>
      <top style="thin">
        <color rgb="00000000"/>
      </top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0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indent="2"/>
    </xf>
    <xf numFmtId="3" fontId="6" fillId="0" borderId="0" applyAlignment="1" pivotButton="0" quotePrefix="0" xfId="0">
      <alignment horizontal="right" vertical="center"/>
    </xf>
    <xf numFmtId="3" fontId="5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 indent="1"/>
    </xf>
    <xf numFmtId="3" fontId="8" fillId="0" borderId="1" applyAlignment="1" pivotButton="0" quotePrefix="0" xfId="0">
      <alignment horizontal="right"/>
    </xf>
    <xf numFmtId="0" fontId="9" fillId="0" borderId="0" applyAlignment="1" pivotButton="0" quotePrefix="0" xfId="0">
      <alignment horizontal="left" vertical="center" indent="3"/>
    </xf>
    <xf numFmtId="164" fontId="10" fillId="0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3" fontId="3" fillId="2" borderId="0" applyAlignment="1" pivotButton="0" quotePrefix="0" xfId="0">
      <alignment horizontal="right"/>
    </xf>
    <xf numFmtId="0" fontId="11" fillId="0" borderId="0" applyAlignment="1" pivotButton="0" quotePrefix="0" xfId="0">
      <alignment horizontal="left" vertical="center" indent="2"/>
    </xf>
    <xf numFmtId="164" fontId="7" fillId="0" borderId="0" applyAlignment="1" pivotButton="0" quotePrefix="0" xfId="0">
      <alignment horizontal="right" vertical="center"/>
    </xf>
    <xf numFmtId="0" fontId="12" fillId="2" borderId="0" applyAlignment="1" pivotButton="0" quotePrefix="0" xfId="0">
      <alignment horizontal="left"/>
    </xf>
    <xf numFmtId="0" fontId="4" fillId="3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indent="4"/>
    </xf>
    <xf numFmtId="0" fontId="9" fillId="0" borderId="0" applyAlignment="1" pivotButton="0" quotePrefix="0" xfId="0">
      <alignment horizontal="left" vertical="center" indent="2"/>
    </xf>
    <xf numFmtId="3" fontId="7" fillId="0" borderId="2" applyAlignment="1" pivotButton="0" quotePrefix="0" xfId="0">
      <alignment horizontal="right" vertical="center"/>
    </xf>
    <xf numFmtId="3" fontId="7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 indent="2"/>
    </xf>
    <xf numFmtId="164" fontId="5" fillId="0" borderId="0" applyAlignment="1" pivotButton="0" quotePrefix="0" xfId="0">
      <alignment horizontal="right" vertical="center"/>
    </xf>
    <xf numFmtId="3" fontId="7" fillId="5" borderId="0" applyAlignment="1" pivotButton="0" quotePrefix="0" xfId="0">
      <alignment horizontal="right" vertical="center"/>
    </xf>
    <xf numFmtId="3" fontId="7" fillId="0" borderId="0" applyAlignment="1" pivotButton="0" quotePrefix="0" xfId="0">
      <alignment horizontal="right" vertical="center"/>
    </xf>
    <xf numFmtId="3" fontId="7" fillId="0" borderId="3" applyAlignment="1" pivotButton="0" quotePrefix="0" xfId="0">
      <alignment horizontal="right" vertical="center"/>
    </xf>
    <xf numFmtId="3" fontId="7" fillId="6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 indent="4"/>
    </xf>
    <xf numFmtId="3" fontId="7" fillId="5" borderId="2" applyAlignment="1" pivotButton="0" quotePrefix="0" xfId="0">
      <alignment horizontal="right" vertical="center"/>
    </xf>
    <xf numFmtId="3" fontId="7" fillId="6" borderId="2" applyAlignment="1" pivotButton="0" quotePrefix="0" xfId="0">
      <alignment horizontal="right" vertical="center"/>
    </xf>
    <xf numFmtId="0" fontId="13" fillId="3" borderId="0" applyAlignment="1" pivotButton="0" quotePrefix="0" xfId="0">
      <alignment horizontal="left" vertical="center"/>
    </xf>
    <xf numFmtId="3" fontId="7" fillId="4" borderId="2" applyAlignment="1" pivotButton="0" quotePrefix="0" xfId="0">
      <alignment horizontal="right" vertical="center"/>
    </xf>
    <xf numFmtId="3" fontId="3" fillId="2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3" fillId="8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164" fontId="15" fillId="0" borderId="0" applyAlignment="1" pivotButton="0" quotePrefix="0" xfId="0">
      <alignment horizontal="right"/>
    </xf>
    <xf numFmtId="164" fontId="16" fillId="0" borderId="0" applyAlignment="1" pivotButton="0" quotePrefix="0" xfId="0">
      <alignment horizontal="right"/>
    </xf>
    <xf numFmtId="164" fontId="17" fillId="0" borderId="0" applyAlignment="1" pivotButton="0" quotePrefix="0" xfId="0">
      <alignment horizontal="right"/>
    </xf>
    <xf numFmtId="3" fontId="15" fillId="0" borderId="0" applyAlignment="1" pivotButton="0" quotePrefix="0" xfId="0">
      <alignment horizontal="right"/>
    </xf>
    <xf numFmtId="3" fontId="16" fillId="0" borderId="0" applyAlignment="1" pivotButton="0" quotePrefix="0" xfId="0">
      <alignment horizontal="right"/>
    </xf>
    <xf numFmtId="3" fontId="17" fillId="0" borderId="0" applyAlignment="1" pivotButton="0" quotePrefix="0" xfId="0">
      <alignment horizontal="right"/>
    </xf>
    <xf numFmtId="164" fontId="18" fillId="0" borderId="0" applyAlignment="1" pivotButton="0" quotePrefix="0" xfId="0">
      <alignment horizontal="right"/>
    </xf>
    <xf numFmtId="164" fontId="19" fillId="0" borderId="0" applyAlignment="1" pivotButton="0" quotePrefix="0" xfId="0">
      <alignment horizontal="right"/>
    </xf>
    <xf numFmtId="164" fontId="20" fillId="0" borderId="0" applyAlignment="1" pivotButton="0" quotePrefix="0" xfId="0">
      <alignment horizontal="right"/>
    </xf>
    <xf numFmtId="3" fontId="18" fillId="0" borderId="0" applyAlignment="1" pivotButton="0" quotePrefix="0" xfId="0">
      <alignment horizontal="right"/>
    </xf>
    <xf numFmtId="3" fontId="19" fillId="0" borderId="0" applyAlignment="1" pivotButton="0" quotePrefix="0" xfId="0">
      <alignment horizontal="right"/>
    </xf>
    <xf numFmtId="3" fontId="20" fillId="0" borderId="0" applyAlignment="1" pivotButton="0" quotePrefix="0" xfId="0">
      <alignment horizontal="right"/>
    </xf>
    <xf numFmtId="0" fontId="21" fillId="5" borderId="0" applyAlignment="1" pivotButton="0" quotePrefix="0" xfId="0">
      <alignment vertical="top" wrapText="1"/>
    </xf>
    <xf numFmtId="0" fontId="21" fillId="9" borderId="0" applyAlignment="1" pivotButton="0" quotePrefix="0" xfId="0">
      <alignment vertical="top" wrapText="1"/>
    </xf>
    <xf numFmtId="0" fontId="21" fillId="10" borderId="0" applyAlignment="1" pivotButton="0" quotePrefix="0" xfId="0">
      <alignment vertical="top" wrapText="1"/>
    </xf>
    <xf numFmtId="164" fontId="16" fillId="0" borderId="0" applyAlignment="1" pivotButton="0" quotePrefix="0" xfId="0">
      <alignment horizontal="right" vertical="center"/>
    </xf>
    <xf numFmtId="3" fontId="19" fillId="5" borderId="0" applyAlignment="1" pivotButton="0" quotePrefix="0" xfId="0">
      <alignment horizontal="right"/>
    </xf>
    <xf numFmtId="164" fontId="6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3" fontId="6" fillId="0" borderId="0" applyAlignment="1" pivotButton="0" quotePrefix="0" xfId="0">
      <alignment horizontal="right"/>
    </xf>
    <xf numFmtId="3" fontId="4" fillId="3" borderId="0" applyAlignment="1" pivotButton="0" quotePrefix="0" xfId="0">
      <alignment horizontal="right"/>
    </xf>
    <xf numFmtId="164" fontId="4" fillId="3" borderId="0" applyAlignment="1" pivotButton="0" quotePrefix="0" xfId="0">
      <alignment horizontal="right"/>
    </xf>
    <xf numFmtId="0" fontId="4" fillId="2" borderId="0" applyAlignment="1" pivotButton="0" quotePrefix="0" xfId="0">
      <alignment horizontal="center" vertical="center" wrapText="1"/>
    </xf>
    <xf numFmtId="2" fontId="6" fillId="0" borderId="0" applyAlignment="1" pivotButton="0" quotePrefix="0" xfId="0">
      <alignment horizontal="right"/>
    </xf>
    <xf numFmtId="164" fontId="7" fillId="0" borderId="0" applyAlignment="1" pivotButton="0" quotePrefix="0" xfId="0">
      <alignment horizontal="right"/>
    </xf>
    <xf numFmtId="3" fontId="5" fillId="0" borderId="3" applyAlignment="1" pivotButton="0" quotePrefix="0" xfId="0">
      <alignment horizontal="right" vertical="center"/>
    </xf>
    <xf numFmtId="167" fontId="5" fillId="0" borderId="0" applyAlignment="1" pivotButton="0" quotePrefix="0" xfId="0">
      <alignment horizontal="right" vertical="center"/>
    </xf>
    <xf numFmtId="168" fontId="7" fillId="0" borderId="3" applyAlignment="1" pivotButton="0" quotePrefix="0" xfId="0">
      <alignment horizontal="right" vertical="center"/>
    </xf>
    <xf numFmtId="0" fontId="4" fillId="3" borderId="0" applyAlignment="1" pivotButton="0" quotePrefix="0" xfId="0">
      <alignment horizontal="center" vertical="center" wrapText="1"/>
    </xf>
    <xf numFmtId="168" fontId="5" fillId="6" borderId="0" applyAlignment="1" pivotButton="0" quotePrefix="0" xfId="0">
      <alignment horizontal="right" vertical="center"/>
    </xf>
    <xf numFmtId="168" fontId="5" fillId="5" borderId="0" applyAlignment="1" pivotButton="0" quotePrefix="0" xfId="0">
      <alignment horizontal="right" vertical="center"/>
    </xf>
    <xf numFmtId="168" fontId="5" fillId="11" borderId="0" applyAlignment="1" pivotButton="0" quotePrefix="0" xfId="0">
      <alignment horizontal="right" vertical="center"/>
    </xf>
    <xf numFmtId="168" fontId="5" fillId="12" borderId="0" applyAlignment="1" pivotButton="0" quotePrefix="0" xfId="0">
      <alignment horizontal="right" vertical="center"/>
    </xf>
    <xf numFmtId="0" fontId="7" fillId="4" borderId="0" applyAlignment="1" pivotButton="0" quotePrefix="0" xfId="0">
      <alignment horizontal="left" vertical="center"/>
    </xf>
    <xf numFmtId="168" fontId="7" fillId="12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7" fillId="5" borderId="0" applyAlignment="1" pivotButton="0" quotePrefix="0" xfId="0">
      <alignment horizontal="right" vertical="center"/>
    </xf>
    <xf numFmtId="168" fontId="7" fillId="11" borderId="0" applyAlignment="1" pivotButton="0" quotePrefix="0" xfId="0">
      <alignment horizontal="right" vertical="center"/>
    </xf>
    <xf numFmtId="168" fontId="5" fillId="10" borderId="0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169" fontId="5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left" vertical="center"/>
    </xf>
    <xf numFmtId="0" fontId="7" fillId="6" borderId="0" applyAlignment="1" pivotButton="0" quotePrefix="0" xfId="0">
      <alignment horizontal="left" vertical="center" indent="2"/>
    </xf>
    <xf numFmtId="0" fontId="8" fillId="6" borderId="0" pivotButton="0" quotePrefix="0" xfId="0"/>
    <xf numFmtId="166" fontId="7" fillId="6" borderId="0" applyAlignment="1" pivotButton="0" quotePrefix="0" xfId="0">
      <alignment horizontal="right" vertical="center"/>
    </xf>
    <xf numFmtId="0" fontId="22" fillId="6" borderId="0" applyAlignment="1" pivotButton="0" quotePrefix="0" xfId="0">
      <alignment horizontal="right"/>
    </xf>
    <xf numFmtId="169" fontId="7" fillId="6" borderId="0" applyAlignment="1" pivotButton="0" quotePrefix="0" xfId="0">
      <alignment horizontal="right" vertical="center"/>
    </xf>
    <xf numFmtId="164" fontId="7" fillId="6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 indent="2"/>
    </xf>
    <xf numFmtId="0" fontId="0" fillId="13" borderId="0" pivotButton="0" quotePrefix="0" xfId="0"/>
    <xf numFmtId="169" fontId="5" fillId="13" borderId="0" applyAlignment="1" pivotButton="0" quotePrefix="0" xfId="0">
      <alignment horizontal="right" vertical="center"/>
    </xf>
    <xf numFmtId="164" fontId="5" fillId="13" borderId="0" applyAlignment="1" pivotButton="0" quotePrefix="0" xfId="0">
      <alignment horizontal="right" vertical="center"/>
    </xf>
    <xf numFmtId="0" fontId="7" fillId="4" borderId="0" applyAlignment="1" pivotButton="0" quotePrefix="0" xfId="0">
      <alignment horizontal="left" vertical="center" indent="2"/>
    </xf>
    <xf numFmtId="0" fontId="0" fillId="4" borderId="0" pivotButton="0" quotePrefix="0" xfId="0"/>
    <xf numFmtId="169" fontId="7" fillId="4" borderId="0" applyAlignment="1" pivotButton="0" quotePrefix="0" xfId="0">
      <alignment horizontal="right" vertical="center"/>
    </xf>
    <xf numFmtId="164" fontId="7" fillId="4" borderId="0" applyAlignment="1" pivotButton="0" quotePrefix="0" xfId="0">
      <alignment horizontal="right" vertical="center"/>
    </xf>
    <xf numFmtId="168" fontId="5" fillId="0" borderId="0" applyAlignment="1" pivotButton="0" quotePrefix="0" xfId="0">
      <alignment horizontal="right" vertical="center"/>
    </xf>
    <xf numFmtId="168" fontId="7" fillId="0" borderId="0" applyAlignment="1" pivotButton="0" quotePrefix="0" xfId="0">
      <alignment horizontal="right" vertical="center"/>
    </xf>
    <xf numFmtId="170" fontId="5" fillId="0" borderId="0" applyAlignment="1" pivotButton="0" quotePrefix="0" xfId="0">
      <alignment horizontal="right" vertical="center"/>
    </xf>
    <xf numFmtId="168" fontId="7" fillId="6" borderId="2" applyAlignment="1" pivotButton="0" quotePrefix="0" xfId="0">
      <alignment horizontal="right" vertical="center"/>
    </xf>
    <xf numFmtId="0" fontId="8" fillId="0" borderId="0" applyAlignment="1" pivotButton="0" quotePrefix="0" xfId="0">
      <alignment horizontal="right"/>
    </xf>
    <xf numFmtId="0" fontId="23" fillId="0" borderId="0" applyAlignment="1" pivotButton="0" quotePrefix="0" xfId="0">
      <alignment horizontal="right"/>
    </xf>
    <xf numFmtId="0" fontId="8" fillId="0" borderId="0" applyAlignment="1" pivotButton="0" quotePrefix="0" xfId="0">
      <alignment horizontal="center"/>
    </xf>
    <xf numFmtId="166" fontId="7" fillId="0" borderId="3" applyAlignment="1" pivotButton="0" quotePrefix="0" xfId="0">
      <alignment horizontal="right" vertical="center"/>
    </xf>
    <xf numFmtId="0" fontId="24" fillId="0" borderId="0" applyAlignment="1" pivotButton="0" quotePrefix="0" xfId="0">
      <alignment horizontal="right"/>
    </xf>
    <xf numFmtId="0" fontId="25" fillId="0" borderId="0" pivotButton="0" quotePrefix="0" xfId="0"/>
    <xf numFmtId="0" fontId="26" fillId="0" borderId="0" pivotButton="0" quotePrefix="0" xfId="0"/>
    <xf numFmtId="0" fontId="3" fillId="14" borderId="0" applyAlignment="1" pivotButton="0" quotePrefix="0" xfId="0">
      <alignment horizontal="left"/>
    </xf>
    <xf numFmtId="0" fontId="0" fillId="14" borderId="0" pivotButton="0" quotePrefix="0" xfId="0"/>
    <xf numFmtId="0" fontId="3" fillId="15" borderId="4" applyAlignment="1" pivotButton="0" quotePrefix="0" xfId="0">
      <alignment horizontal="center" vertical="center" wrapText="1"/>
    </xf>
    <xf numFmtId="0" fontId="27" fillId="0" borderId="0" applyAlignment="1" pivotButton="0" quotePrefix="0" xfId="0">
      <alignment horizontal="left"/>
    </xf>
    <xf numFmtId="164" fontId="28" fillId="0" borderId="0" applyAlignment="1" pivotButton="0" quotePrefix="0" xfId="0">
      <alignment horizontal="right"/>
    </xf>
    <xf numFmtId="164" fontId="29" fillId="0" borderId="0" applyAlignment="1" pivotButton="0" quotePrefix="0" xfId="0">
      <alignment horizontal="right"/>
    </xf>
    <xf numFmtId="0" fontId="26" fillId="0" borderId="0" applyAlignment="1" pivotButton="0" quotePrefix="0" xfId="0">
      <alignment horizontal="left"/>
    </xf>
    <xf numFmtId="0" fontId="29" fillId="0" borderId="0" applyAlignment="1" pivotButton="0" quotePrefix="0" xfId="0">
      <alignment horizontal="left"/>
    </xf>
    <xf numFmtId="164" fontId="29" fillId="16" borderId="0" applyAlignment="1" pivotButton="0" quotePrefix="0" xfId="0">
      <alignment horizontal="right"/>
    </xf>
    <xf numFmtId="0" fontId="30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right"/>
    </xf>
    <xf numFmtId="164" fontId="27" fillId="0" borderId="0" applyAlignment="1" pivotButton="0" quotePrefix="0" xfId="0">
      <alignment horizontal="right"/>
    </xf>
    <xf numFmtId="3" fontId="29" fillId="17" borderId="0" applyAlignment="1" pivotButton="0" quotePrefix="0" xfId="0">
      <alignment horizontal="right"/>
    </xf>
    <xf numFmtId="167" fontId="27" fillId="0" borderId="0" applyAlignment="1" pivotButton="0" quotePrefix="0" xfId="0">
      <alignment horizontal="right"/>
    </xf>
    <xf numFmtId="171" fontId="27" fillId="0" borderId="0" applyAlignment="1" pivotButton="0" quotePrefix="0" xfId="0">
      <alignment horizontal="right"/>
    </xf>
    <xf numFmtId="3" fontId="29" fillId="16" borderId="0" applyAlignment="1" pivotButton="0" quotePrefix="0" xfId="0">
      <alignment horizontal="right"/>
    </xf>
    <xf numFmtId="172" fontId="29" fillId="18" borderId="0" applyAlignment="1" pivotButton="0" quotePrefix="0" xfId="0">
      <alignment horizontal="right"/>
    </xf>
    <xf numFmtId="0" fontId="31" fillId="0" borderId="0" applyAlignment="1" pivotButton="0" quotePrefix="0" xfId="0">
      <alignment horizontal="left"/>
    </xf>
    <xf numFmtId="172" fontId="27" fillId="0" borderId="0" applyAlignment="1" pivotButton="0" quotePrefix="0" xfId="0">
      <alignment horizontal="right"/>
    </xf>
    <xf numFmtId="172" fontId="29" fillId="16" borderId="0" applyAlignment="1" pivotButton="0" quotePrefix="0" xfId="0">
      <alignment horizontal="right"/>
    </xf>
    <xf numFmtId="0" fontId="32" fillId="0" borderId="0" pivotButton="0" quotePrefix="0" xfId="0"/>
    <xf numFmtId="0" fontId="3" fillId="7" borderId="4" applyAlignment="1" pivotButton="0" quotePrefix="0" xfId="0">
      <alignment horizontal="center" vertical="center" wrapText="1"/>
    </xf>
    <xf numFmtId="0" fontId="33" fillId="0" borderId="0" applyAlignment="1" pivotButton="0" quotePrefix="0" xfId="0">
      <alignment horizontal="left"/>
    </xf>
    <xf numFmtId="0" fontId="0" fillId="5" borderId="0" pivotButton="0" quotePrefix="0" xfId="0"/>
    <xf numFmtId="0" fontId="34" fillId="0" borderId="0" applyAlignment="1" pivotButton="0" quotePrefix="0" xfId="0">
      <alignment horizontal="left"/>
    </xf>
    <xf numFmtId="173" fontId="27" fillId="0" borderId="0" applyAlignment="1" pivotButton="0" quotePrefix="0" xfId="0">
      <alignment horizontal="right"/>
    </xf>
    <xf numFmtId="169" fontId="27" fillId="0" borderId="0" applyAlignment="1" pivotButton="0" quotePrefix="0" xfId="0">
      <alignment horizontal="right"/>
    </xf>
    <xf numFmtId="0" fontId="28" fillId="0" borderId="0" applyAlignment="1" pivotButton="0" quotePrefix="0" xfId="0">
      <alignment horizontal="left"/>
    </xf>
    <xf numFmtId="0" fontId="3" fillId="7" borderId="0" applyAlignment="1" pivotButton="0" quotePrefix="0" xfId="0">
      <alignment horizontal="left"/>
    </xf>
    <xf numFmtId="0" fontId="0" fillId="7" borderId="0" pivotButton="0" quotePrefix="0" xfId="0"/>
    <xf numFmtId="169" fontId="29" fillId="0" borderId="0" applyAlignment="1" pivotButton="0" quotePrefix="0" xfId="0">
      <alignment horizontal="right"/>
    </xf>
    <xf numFmtId="0" fontId="3" fillId="19" borderId="0" applyAlignment="1" pivotButton="0" quotePrefix="0" xfId="0">
      <alignment horizontal="left"/>
    </xf>
    <xf numFmtId="0" fontId="0" fillId="19" borderId="0" pivotButton="0" quotePrefix="0" xfId="0"/>
    <xf numFmtId="0" fontId="3" fillId="19" borderId="4" applyAlignment="1" pivotButton="0" quotePrefix="0" xfId="0">
      <alignment horizontal="center" vertical="center" wrapText="1"/>
    </xf>
    <xf numFmtId="0" fontId="35" fillId="0" borderId="0" applyAlignment="1" pivotButton="0" quotePrefix="0" xfId="0">
      <alignment horizontal="left"/>
    </xf>
    <xf numFmtId="0" fontId="36" fillId="0" borderId="0" pivotButton="0" quotePrefix="0" xfId="0"/>
    <xf numFmtId="0" fontId="3" fillId="8" borderId="4" applyAlignment="1" pivotButton="0" quotePrefix="0" xfId="0">
      <alignment horizontal="center" vertical="center" wrapText="1"/>
    </xf>
    <xf numFmtId="169" fontId="29" fillId="18" borderId="0" applyAlignment="1" pivotButton="0" quotePrefix="0" xfId="0">
      <alignment horizontal="right"/>
    </xf>
    <xf numFmtId="3" fontId="29" fillId="0" borderId="0" applyAlignment="1" pivotButton="0" quotePrefix="0" xfId="0">
      <alignment horizontal="right"/>
    </xf>
    <xf numFmtId="164" fontId="29" fillId="17" borderId="0" applyAlignment="1" pivotButton="0" quotePrefix="0" xfId="0">
      <alignment horizontal="right"/>
    </xf>
    <xf numFmtId="0" fontId="37" fillId="17" borderId="0" applyAlignment="1" pivotButton="0" quotePrefix="0" xfId="0">
      <alignment horizontal="left"/>
    </xf>
    <xf numFmtId="3" fontId="29" fillId="18" borderId="0" applyAlignment="1" pivotButton="0" quotePrefix="0" xfId="0">
      <alignment horizontal="right"/>
    </xf>
    <xf numFmtId="0" fontId="3" fillId="8" borderId="0" applyAlignment="1" pivotButton="0" quotePrefix="0" xfId="0">
      <alignment horizontal="left"/>
    </xf>
    <xf numFmtId="0" fontId="0" fillId="8" borderId="0" pivotButton="0" quotePrefix="0" xfId="0"/>
    <xf numFmtId="0" fontId="38" fillId="0" borderId="0" pivotButton="0" quotePrefix="0" xfId="0"/>
    <xf numFmtId="172" fontId="29" fillId="17" borderId="0" applyAlignment="1" pivotButton="0" quotePrefix="0" xfId="0">
      <alignment horizontal="right"/>
    </xf>
    <xf numFmtId="172" fontId="29" fillId="0" borderId="0" applyAlignment="1" pivotButton="0" quotePrefix="0" xfId="0">
      <alignment horizontal="right"/>
    </xf>
    <xf numFmtId="0" fontId="3" fillId="20" borderId="0" applyAlignment="1" pivotButton="0" quotePrefix="0" xfId="0">
      <alignment horizontal="left"/>
    </xf>
    <xf numFmtId="0" fontId="0" fillId="20" borderId="0" pivotButton="0" quotePrefix="0" xfId="0"/>
    <xf numFmtId="0" fontId="3" fillId="20" borderId="4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K83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3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 ht="26" customHeight="1">
      <c r="B1" s="1" t="inlineStr">
        <is>
          <t>SPACEX — REVENUE MODEL</t>
        </is>
      </c>
    </row>
    <row r="2" ht="13" customHeight="1">
      <c r="B2" s="2" t="inlineStr">
        <is>
          <t>USD millions  |  Source: SpaceX S-1 (May 2026), Company disclosures, Analyst estimates</t>
        </is>
      </c>
    </row>
    <row r="3" ht="5" customHeight="1"/>
    <row r="4" ht="18" customHeight="1">
      <c r="B4" s="3" t="inlineStr">
        <is>
          <t>REVENUE BREAKDOWN ($M)</t>
        </is>
      </c>
      <c r="C4" s="3" t="inlineStr">
        <is>
          <t>2022A</t>
        </is>
      </c>
      <c r="D4" s="3" t="inlineStr">
        <is>
          <t>2023A</t>
        </is>
      </c>
      <c r="E4" s="3" t="inlineStr">
        <is>
          <t>2024A</t>
        </is>
      </c>
      <c r="F4" s="3" t="inlineStr">
        <is>
          <t>2025A</t>
        </is>
      </c>
      <c r="G4" s="4" t="inlineStr">
        <is>
          <t>2026E</t>
        </is>
      </c>
      <c r="H4" s="4" t="inlineStr">
        <is>
          <t>2027E</t>
        </is>
      </c>
      <c r="I4" s="4" t="inlineStr">
        <is>
          <t>2028E</t>
        </is>
      </c>
      <c r="J4" s="4" t="inlineStr">
        <is>
          <t>2029E</t>
        </is>
      </c>
      <c r="K4" s="4" t="inlineStr">
        <is>
          <t>2030E</t>
        </is>
      </c>
    </row>
    <row r="5" ht="16" customHeight="1">
      <c r="B5" s="5" t="inlineStr">
        <is>
          <t xml:space="preserve">  LAUNCH SERVICES</t>
        </is>
      </c>
    </row>
    <row r="6" ht="15" customHeight="1">
      <c r="B6" s="6" t="inlineStr">
        <is>
          <t xml:space="preserve">    Government Launch</t>
        </is>
      </c>
      <c r="C6" s="7" t="n">
        <v>1420</v>
      </c>
      <c r="D6" s="7" t="n">
        <v>1890</v>
      </c>
      <c r="E6" s="7" t="n">
        <v>2340</v>
      </c>
      <c r="F6" s="7" t="n">
        <v>2850</v>
      </c>
      <c r="G6" s="8" t="n">
        <v>3420</v>
      </c>
      <c r="H6" s="8" t="n">
        <v>3990</v>
      </c>
      <c r="I6" s="8" t="n">
        <v>4550</v>
      </c>
      <c r="J6" s="8" t="n">
        <v>5020</v>
      </c>
      <c r="K6" s="8" t="n">
        <v>5380</v>
      </c>
    </row>
    <row r="7" ht="15" customHeight="1">
      <c r="B7" s="6" t="inlineStr">
        <is>
          <t xml:space="preserve">    Commercial Launch (3rd-Party)</t>
        </is>
      </c>
      <c r="C7" s="7" t="n">
        <v>680</v>
      </c>
      <c r="D7" s="7" t="n">
        <v>920</v>
      </c>
      <c r="E7" s="7" t="n">
        <v>1150</v>
      </c>
      <c r="F7" s="7" t="n">
        <v>1480</v>
      </c>
      <c r="G7" s="8" t="n">
        <v>1860</v>
      </c>
      <c r="H7" s="8" t="n">
        <v>2250</v>
      </c>
      <c r="I7" s="8" t="n">
        <v>2690</v>
      </c>
      <c r="J7" s="8" t="n">
        <v>3120</v>
      </c>
      <c r="K7" s="8" t="n">
        <v>3460</v>
      </c>
    </row>
    <row r="8" ht="15" customHeight="1">
      <c r="B8" s="6" t="inlineStr">
        <is>
          <t xml:space="preserve">    Rideshare (Transporter Missions)</t>
        </is>
      </c>
      <c r="C8" s="7" t="n">
        <v>210</v>
      </c>
      <c r="D8" s="7" t="n">
        <v>310</v>
      </c>
      <c r="E8" s="7" t="n">
        <v>410</v>
      </c>
      <c r="F8" s="7" t="n">
        <v>530</v>
      </c>
      <c r="G8" s="8" t="n">
        <v>680</v>
      </c>
      <c r="H8" s="8" t="n">
        <v>850</v>
      </c>
      <c r="I8" s="8" t="n">
        <v>1050</v>
      </c>
      <c r="J8" s="8" t="n">
        <v>1260</v>
      </c>
      <c r="K8" s="8" t="n">
        <v>1450</v>
      </c>
    </row>
    <row r="9" ht="15" customHeight="1">
      <c r="B9" s="6" t="inlineStr">
        <is>
          <t xml:space="preserve">    Human Spaceflight (Crew Dragon)</t>
        </is>
      </c>
      <c r="C9" s="7" t="n">
        <v>280</v>
      </c>
      <c r="D9" s="7" t="n">
        <v>410</v>
      </c>
      <c r="E9" s="7" t="n">
        <v>620</v>
      </c>
      <c r="F9" s="7" t="n">
        <v>780</v>
      </c>
      <c r="G9" s="8" t="n">
        <v>940</v>
      </c>
      <c r="H9" s="8" t="n">
        <v>1120</v>
      </c>
      <c r="I9" s="8" t="n">
        <v>1380</v>
      </c>
      <c r="J9" s="8" t="n">
        <v>1680</v>
      </c>
      <c r="K9" s="8" t="n">
        <v>1980</v>
      </c>
    </row>
    <row r="10" ht="16" customHeight="1">
      <c r="B10" s="9" t="inlineStr">
        <is>
          <t xml:space="preserve">  Total LAUNCH SERVICES</t>
        </is>
      </c>
      <c r="C10" s="10" t="n">
        <v>2590</v>
      </c>
      <c r="D10" s="10" t="n">
        <v>3530</v>
      </c>
      <c r="E10" s="10" t="n">
        <v>4520</v>
      </c>
      <c r="F10" s="10" t="n">
        <v>5640</v>
      </c>
      <c r="G10" s="10" t="n">
        <v>6900</v>
      </c>
      <c r="H10" s="10" t="n">
        <v>8210</v>
      </c>
      <c r="I10" s="10" t="n">
        <v>9670</v>
      </c>
      <c r="J10" s="10" t="n">
        <v>11080</v>
      </c>
      <c r="K10" s="10" t="n">
        <v>12270</v>
      </c>
    </row>
    <row r="11" ht="13" customHeight="1">
      <c r="B11" s="11" t="inlineStr">
        <is>
          <t xml:space="preserve">    % of Total Revenue</t>
        </is>
      </c>
      <c r="C11" s="12" t="n">
        <v>0.517</v>
      </c>
      <c r="D11" s="12" t="n">
        <v>0.4238</v>
      </c>
      <c r="E11" s="12" t="n">
        <v>0.3304</v>
      </c>
      <c r="F11" s="12" t="n">
        <v>0.2837</v>
      </c>
      <c r="G11" s="12" t="n">
        <v>0.2477</v>
      </c>
      <c r="H11" s="12" t="n">
        <v>0.2161</v>
      </c>
      <c r="I11" s="12" t="n">
        <v>0.1901</v>
      </c>
      <c r="J11" s="12" t="n">
        <v>0.1675</v>
      </c>
      <c r="K11" s="12" t="n">
        <v>0.148</v>
      </c>
    </row>
    <row r="12" ht="13" customHeight="1">
      <c r="B12" s="11" t="inlineStr">
        <is>
          <t xml:space="preserve">    YoY Growth %</t>
        </is>
      </c>
      <c r="C12" s="13" t="inlineStr">
        <is>
          <t>—</t>
        </is>
      </c>
      <c r="D12" s="12" t="n">
        <v>0.3629</v>
      </c>
      <c r="E12" s="12" t="n">
        <v>0.2805</v>
      </c>
      <c r="F12" s="12" t="n">
        <v>0.2478</v>
      </c>
      <c r="G12" s="12" t="n">
        <v>0.2234</v>
      </c>
      <c r="H12" s="12" t="n">
        <v>0.1899</v>
      </c>
      <c r="I12" s="12" t="n">
        <v>0.1778</v>
      </c>
      <c r="J12" s="12" t="n">
        <v>0.1458</v>
      </c>
      <c r="K12" s="12" t="n">
        <v>0.1074</v>
      </c>
    </row>
    <row r="13" ht="4" customHeight="1"/>
    <row r="14" ht="16" customHeight="1">
      <c r="B14" s="5" t="inlineStr">
        <is>
          <t xml:space="preserve">  STARLINK CONNECTIVITY</t>
        </is>
      </c>
    </row>
    <row r="15" ht="15" customHeight="1">
      <c r="B15" s="6" t="inlineStr">
        <is>
          <t xml:space="preserve">    Consumer Residential Broadband</t>
        </is>
      </c>
      <c r="C15" s="7" t="n">
        <v>1820</v>
      </c>
      <c r="D15" s="7" t="n">
        <v>3240</v>
      </c>
      <c r="E15" s="7" t="n">
        <v>5810</v>
      </c>
      <c r="F15" s="7" t="n">
        <v>8420</v>
      </c>
      <c r="G15" s="8" t="n">
        <v>11200</v>
      </c>
      <c r="H15" s="8" t="n">
        <v>14600</v>
      </c>
      <c r="I15" s="8" t="n">
        <v>18800</v>
      </c>
      <c r="J15" s="8" t="n">
        <v>23400</v>
      </c>
      <c r="K15" s="8" t="n">
        <v>28100</v>
      </c>
    </row>
    <row r="16" ht="15" customHeight="1">
      <c r="B16" s="6" t="inlineStr">
        <is>
          <t xml:space="preserve">    Maritime</t>
        </is>
      </c>
      <c r="C16" s="7" t="n">
        <v>180</v>
      </c>
      <c r="D16" s="7" t="n">
        <v>420</v>
      </c>
      <c r="E16" s="7" t="n">
        <v>720</v>
      </c>
      <c r="F16" s="7" t="n">
        <v>980</v>
      </c>
      <c r="G16" s="8" t="n">
        <v>1260</v>
      </c>
      <c r="H16" s="8" t="n">
        <v>1580</v>
      </c>
      <c r="I16" s="8" t="n">
        <v>1940</v>
      </c>
      <c r="J16" s="8" t="n">
        <v>2360</v>
      </c>
      <c r="K16" s="8" t="n">
        <v>2780</v>
      </c>
    </row>
    <row r="17" ht="15" customHeight="1">
      <c r="B17" s="6" t="inlineStr">
        <is>
          <t xml:space="preserve">    Aviation (In-Flight)</t>
        </is>
      </c>
      <c r="C17" s="7" t="n">
        <v>120</v>
      </c>
      <c r="D17" s="7" t="n">
        <v>310</v>
      </c>
      <c r="E17" s="7" t="n">
        <v>580</v>
      </c>
      <c r="F17" s="7" t="n">
        <v>840</v>
      </c>
      <c r="G17" s="8" t="n">
        <v>1120</v>
      </c>
      <c r="H17" s="8" t="n">
        <v>1450</v>
      </c>
      <c r="I17" s="8" t="n">
        <v>1840</v>
      </c>
      <c r="J17" s="8" t="n">
        <v>2290</v>
      </c>
      <c r="K17" s="8" t="n">
        <v>2780</v>
      </c>
    </row>
    <row r="18" ht="15" customHeight="1">
      <c r="B18" s="6" t="inlineStr">
        <is>
          <t xml:space="preserve">    Enterprise / Government</t>
        </is>
      </c>
      <c r="C18" s="7" t="n">
        <v>180</v>
      </c>
      <c r="D18" s="7" t="n">
        <v>510</v>
      </c>
      <c r="E18" s="7" t="n">
        <v>1090</v>
      </c>
      <c r="F18" s="7" t="n">
        <v>1640</v>
      </c>
      <c r="G18" s="8" t="n">
        <v>2200</v>
      </c>
      <c r="H18" s="8" t="n">
        <v>2840</v>
      </c>
      <c r="I18" s="8" t="n">
        <v>3620</v>
      </c>
      <c r="J18" s="8" t="n">
        <v>4520</v>
      </c>
      <c r="K18" s="8" t="n">
        <v>5440</v>
      </c>
    </row>
    <row r="19" ht="15" customHeight="1">
      <c r="B19" s="6" t="inlineStr">
        <is>
          <t xml:space="preserve">    Direct-to-Cell (Mobile)</t>
        </is>
      </c>
      <c r="C19" s="7" t="n">
        <v>0</v>
      </c>
      <c r="D19" s="7" t="n">
        <v>40</v>
      </c>
      <c r="E19" s="7" t="n">
        <v>180</v>
      </c>
      <c r="F19" s="7" t="n">
        <v>480</v>
      </c>
      <c r="G19" s="8" t="n">
        <v>860</v>
      </c>
      <c r="H19" s="8" t="n">
        <v>1340</v>
      </c>
      <c r="I19" s="8" t="n">
        <v>2100</v>
      </c>
      <c r="J19" s="8" t="n">
        <v>3200</v>
      </c>
      <c r="K19" s="8" t="n">
        <v>4600</v>
      </c>
    </row>
    <row r="20" ht="16" customHeight="1">
      <c r="B20" s="9" t="inlineStr">
        <is>
          <t xml:space="preserve">  Total STARLINK CONNECTIVITY</t>
        </is>
      </c>
      <c r="C20" s="10" t="n">
        <v>2300</v>
      </c>
      <c r="D20" s="10" t="n">
        <v>4520</v>
      </c>
      <c r="E20" s="10" t="n">
        <v>8380</v>
      </c>
      <c r="F20" s="10" t="n">
        <v>12360</v>
      </c>
      <c r="G20" s="10" t="n">
        <v>16640</v>
      </c>
      <c r="H20" s="10" t="n">
        <v>21810</v>
      </c>
      <c r="I20" s="10" t="n">
        <v>28300</v>
      </c>
      <c r="J20" s="10" t="n">
        <v>35770</v>
      </c>
      <c r="K20" s="10" t="n">
        <v>43700</v>
      </c>
    </row>
    <row r="21" ht="13" customHeight="1">
      <c r="B21" s="11" t="inlineStr">
        <is>
          <t xml:space="preserve">    % of Total Revenue</t>
        </is>
      </c>
      <c r="C21" s="12" t="n">
        <v>0.4591</v>
      </c>
      <c r="D21" s="12" t="n">
        <v>0.5426</v>
      </c>
      <c r="E21" s="12" t="n">
        <v>0.6126</v>
      </c>
      <c r="F21" s="12" t="n">
        <v>0.6217</v>
      </c>
      <c r="G21" s="12" t="n">
        <v>0.5973000000000001</v>
      </c>
      <c r="H21" s="12" t="n">
        <v>0.5739</v>
      </c>
      <c r="I21" s="12" t="n">
        <v>0.5564</v>
      </c>
      <c r="J21" s="12" t="n">
        <v>0.5407</v>
      </c>
      <c r="K21" s="12" t="n">
        <v>0.527</v>
      </c>
    </row>
    <row r="22" ht="13" customHeight="1">
      <c r="B22" s="11" t="inlineStr">
        <is>
          <t xml:space="preserve">    YoY Growth %</t>
        </is>
      </c>
      <c r="C22" s="13" t="inlineStr">
        <is>
          <t>—</t>
        </is>
      </c>
      <c r="D22" s="12" t="n">
        <v>0.9651999999999999</v>
      </c>
      <c r="E22" s="12" t="n">
        <v>0.854</v>
      </c>
      <c r="F22" s="12" t="n">
        <v>0.4749</v>
      </c>
      <c r="G22" s="12" t="n">
        <v>0.3463</v>
      </c>
      <c r="H22" s="12" t="n">
        <v>0.3107</v>
      </c>
      <c r="I22" s="12" t="n">
        <v>0.2976</v>
      </c>
      <c r="J22" s="12" t="n">
        <v>0.264</v>
      </c>
      <c r="K22" s="12" t="n">
        <v>0.2217</v>
      </c>
    </row>
    <row r="23" ht="4" customHeight="1"/>
    <row r="24" ht="16" customHeight="1">
      <c r="B24" s="5" t="inlineStr">
        <is>
          <t xml:space="preserve">  AI &amp; TECHNOLOGY (xAI / Grok)</t>
        </is>
      </c>
    </row>
    <row r="25" ht="15" customHeight="1">
      <c r="B25" s="6" t="inlineStr">
        <is>
          <t xml:space="preserve">    Grok AI Subscriptions (B2C)</t>
        </is>
      </c>
      <c r="C25" s="7" t="n">
        <v>0</v>
      </c>
      <c r="D25" s="7" t="n">
        <v>80</v>
      </c>
      <c r="E25" s="7" t="n">
        <v>320</v>
      </c>
      <c r="F25" s="7" t="n">
        <v>890</v>
      </c>
      <c r="G25" s="8" t="n">
        <v>2100</v>
      </c>
      <c r="H25" s="8" t="n">
        <v>3850</v>
      </c>
      <c r="I25" s="8" t="n">
        <v>6200</v>
      </c>
      <c r="J25" s="8" t="n">
        <v>9400</v>
      </c>
      <c r="K25" s="8" t="n">
        <v>13200</v>
      </c>
    </row>
    <row r="26" ht="15" customHeight="1">
      <c r="B26" s="6" t="inlineStr">
        <is>
          <t xml:space="preserve">    AI Compute / Cloud Services (B2B)</t>
        </is>
      </c>
      <c r="C26" s="7" t="n">
        <v>0</v>
      </c>
      <c r="D26" s="7" t="n">
        <v>20</v>
      </c>
      <c r="E26" s="7" t="n">
        <v>110</v>
      </c>
      <c r="F26" s="7" t="n">
        <v>380</v>
      </c>
      <c r="G26" s="8" t="n">
        <v>1050</v>
      </c>
      <c r="H26" s="8" t="n">
        <v>2100</v>
      </c>
      <c r="I26" s="8" t="n">
        <v>3500</v>
      </c>
      <c r="J26" s="8" t="n">
        <v>5200</v>
      </c>
      <c r="K26" s="8" t="n">
        <v>7400</v>
      </c>
    </row>
    <row r="27" ht="15" customHeight="1">
      <c r="B27" s="6" t="inlineStr">
        <is>
          <t xml:space="preserve">    Enterprise AI Solutions</t>
        </is>
      </c>
      <c r="C27" s="7" t="n">
        <v>0</v>
      </c>
      <c r="D27" s="7" t="n">
        <v>0</v>
      </c>
      <c r="E27" s="7" t="n">
        <v>60</v>
      </c>
      <c r="F27" s="7" t="n">
        <v>230</v>
      </c>
      <c r="G27" s="8" t="n">
        <v>650</v>
      </c>
      <c r="H27" s="8" t="n">
        <v>1350</v>
      </c>
      <c r="I27" s="8" t="n">
        <v>2300</v>
      </c>
      <c r="J27" s="8" t="n">
        <v>3600</v>
      </c>
      <c r="K27" s="8" t="n">
        <v>5000</v>
      </c>
    </row>
    <row r="28" ht="16" customHeight="1">
      <c r="B28" s="9" t="inlineStr">
        <is>
          <t xml:space="preserve">  Total AI &amp; TECHNOLOGY (xAI / Grok)</t>
        </is>
      </c>
      <c r="C28" s="10" t="n">
        <v>0</v>
      </c>
      <c r="D28" s="10" t="n">
        <v>100</v>
      </c>
      <c r="E28" s="10" t="n">
        <v>490</v>
      </c>
      <c r="F28" s="10" t="n">
        <v>1500</v>
      </c>
      <c r="G28" s="10" t="n">
        <v>3800</v>
      </c>
      <c r="H28" s="10" t="n">
        <v>7300</v>
      </c>
      <c r="I28" s="10" t="n">
        <v>12000</v>
      </c>
      <c r="J28" s="10" t="n">
        <v>18200</v>
      </c>
      <c r="K28" s="10" t="n">
        <v>25600</v>
      </c>
    </row>
    <row r="29" ht="13" customHeight="1">
      <c r="B29" s="11" t="inlineStr">
        <is>
          <t xml:space="preserve">    % of Total Revenue</t>
        </is>
      </c>
      <c r="C29" s="12" t="n">
        <v>0</v>
      </c>
      <c r="D29" s="12" t="n">
        <v>0.012</v>
      </c>
      <c r="E29" s="12" t="n">
        <v>0.0358</v>
      </c>
      <c r="F29" s="12" t="n">
        <v>0.0755</v>
      </c>
      <c r="G29" s="12" t="n">
        <v>0.1364</v>
      </c>
      <c r="H29" s="12" t="n">
        <v>0.1921</v>
      </c>
      <c r="I29" s="12" t="n">
        <v>0.2359</v>
      </c>
      <c r="J29" s="12" t="n">
        <v>0.2751</v>
      </c>
      <c r="K29" s="12" t="n">
        <v>0.3087</v>
      </c>
    </row>
    <row r="30" ht="13" customHeight="1">
      <c r="B30" s="11" t="inlineStr">
        <is>
          <t xml:space="preserve">    YoY Growth %</t>
        </is>
      </c>
      <c r="C30" s="13" t="inlineStr">
        <is>
          <t>—</t>
        </is>
      </c>
      <c r="D30" s="13" t="inlineStr">
        <is>
          <t>—</t>
        </is>
      </c>
      <c r="E30" s="12" t="n">
        <v>3.9</v>
      </c>
      <c r="F30" s="12" t="n">
        <v>2.0612</v>
      </c>
      <c r="G30" s="12" t="n">
        <v>1.5333</v>
      </c>
      <c r="H30" s="12" t="n">
        <v>0.9211</v>
      </c>
      <c r="I30" s="12" t="n">
        <v>0.6438</v>
      </c>
      <c r="J30" s="12" t="n">
        <v>0.5167</v>
      </c>
      <c r="K30" s="12" t="n">
        <v>0.4066</v>
      </c>
    </row>
    <row r="31" ht="4" customHeight="1"/>
    <row r="32" ht="16" customHeight="1">
      <c r="B32" s="5" t="inlineStr">
        <is>
          <t xml:space="preserve">  OTHER REVENUE</t>
        </is>
      </c>
    </row>
    <row r="33" ht="15" customHeight="1">
      <c r="B33" s="6" t="inlineStr">
        <is>
          <t xml:space="preserve">    Starshield &amp; Government Programs</t>
        </is>
      </c>
      <c r="C33" s="7" t="n">
        <v>120</v>
      </c>
      <c r="D33" s="7" t="n">
        <v>180</v>
      </c>
      <c r="E33" s="7" t="n">
        <v>290</v>
      </c>
      <c r="F33" s="7" t="n">
        <v>380</v>
      </c>
      <c r="G33" s="8" t="n">
        <v>520</v>
      </c>
      <c r="H33" s="8" t="n">
        <v>680</v>
      </c>
      <c r="I33" s="8" t="n">
        <v>890</v>
      </c>
      <c r="J33" s="8" t="n">
        <v>1100</v>
      </c>
      <c r="K33" s="8" t="n">
        <v>1350</v>
      </c>
    </row>
    <row r="34" ht="16" customHeight="1">
      <c r="B34" s="9" t="inlineStr">
        <is>
          <t xml:space="preserve">  Total OTHER REVENUE</t>
        </is>
      </c>
      <c r="C34" s="10" t="n">
        <v>120</v>
      </c>
      <c r="D34" s="10" t="n">
        <v>180</v>
      </c>
      <c r="E34" s="10" t="n">
        <v>290</v>
      </c>
      <c r="F34" s="10" t="n">
        <v>380</v>
      </c>
      <c r="G34" s="10" t="n">
        <v>520</v>
      </c>
      <c r="H34" s="10" t="n">
        <v>680</v>
      </c>
      <c r="I34" s="10" t="n">
        <v>890</v>
      </c>
      <c r="J34" s="10" t="n">
        <v>1100</v>
      </c>
      <c r="K34" s="10" t="n">
        <v>1350</v>
      </c>
    </row>
    <row r="35" ht="13" customHeight="1">
      <c r="B35" s="11" t="inlineStr">
        <is>
          <t xml:space="preserve">    % of Total Revenue</t>
        </is>
      </c>
      <c r="C35" s="12" t="n">
        <v>0.024</v>
      </c>
      <c r="D35" s="12" t="n">
        <v>0.0216</v>
      </c>
      <c r="E35" s="12" t="n">
        <v>0.0212</v>
      </c>
      <c r="F35" s="12" t="n">
        <v>0.0191</v>
      </c>
      <c r="G35" s="12" t="n">
        <v>0.0187</v>
      </c>
      <c r="H35" s="12" t="n">
        <v>0.0179</v>
      </c>
      <c r="I35" s="12" t="n">
        <v>0.0175</v>
      </c>
      <c r="J35" s="12" t="n">
        <v>0.0166</v>
      </c>
      <c r="K35" s="12" t="n">
        <v>0.0163</v>
      </c>
    </row>
    <row r="36" ht="13" customHeight="1">
      <c r="B36" s="11" t="inlineStr">
        <is>
          <t xml:space="preserve">    YoY Growth %</t>
        </is>
      </c>
      <c r="C36" s="13" t="inlineStr">
        <is>
          <t>—</t>
        </is>
      </c>
      <c r="D36" s="12" t="n">
        <v>0.5</v>
      </c>
      <c r="E36" s="12" t="n">
        <v>0.6111</v>
      </c>
      <c r="F36" s="12" t="n">
        <v>0.3103</v>
      </c>
      <c r="G36" s="12" t="n">
        <v>0.3684</v>
      </c>
      <c r="H36" s="12" t="n">
        <v>0.3077</v>
      </c>
      <c r="I36" s="12" t="n">
        <v>0.3088</v>
      </c>
      <c r="J36" s="12" t="n">
        <v>0.236</v>
      </c>
      <c r="K36" s="12" t="n">
        <v>0.2273</v>
      </c>
    </row>
    <row r="37" ht="4" customHeight="1"/>
    <row r="38" ht="20" customHeight="1">
      <c r="B38" s="14" t="inlineStr">
        <is>
          <t>TOTAL REVENUE</t>
        </is>
      </c>
      <c r="C38" s="15" t="n">
        <v>5010</v>
      </c>
      <c r="D38" s="15" t="n">
        <v>8330</v>
      </c>
      <c r="E38" s="15" t="n">
        <v>13680</v>
      </c>
      <c r="F38" s="15" t="n">
        <v>19880</v>
      </c>
      <c r="G38" s="15" t="n">
        <v>27860</v>
      </c>
      <c r="H38" s="15" t="n">
        <v>38000</v>
      </c>
      <c r="I38" s="15" t="n">
        <v>50860</v>
      </c>
      <c r="J38" s="15" t="n">
        <v>66150</v>
      </c>
      <c r="K38" s="15" t="n">
        <v>82920</v>
      </c>
    </row>
    <row r="39" ht="14" customHeight="1">
      <c r="B39" s="16" t="inlineStr">
        <is>
          <t xml:space="preserve">  YoY Growth %</t>
        </is>
      </c>
      <c r="C39" s="13" t="inlineStr">
        <is>
          <t>—</t>
        </is>
      </c>
      <c r="D39" s="17" t="n">
        <v>0.6627</v>
      </c>
      <c r="E39" s="17" t="n">
        <v>0.6423</v>
      </c>
      <c r="F39" s="17" t="n">
        <v>0.4532</v>
      </c>
      <c r="G39" s="17" t="n">
        <v>0.4014</v>
      </c>
      <c r="H39" s="17" t="n">
        <v>0.364</v>
      </c>
      <c r="I39" s="17" t="n">
        <v>0.3384</v>
      </c>
      <c r="J39" s="17" t="n">
        <v>0.3006</v>
      </c>
      <c r="K39" s="17" t="n">
        <v>0.2535</v>
      </c>
    </row>
    <row r="42" ht="20" customHeight="1">
      <c r="B42" s="18" t="inlineStr">
        <is>
          <t>REVENUE BY GEOGRAPHY ($M)</t>
        </is>
      </c>
    </row>
    <row r="43" ht="16" customHeight="1">
      <c r="B43" s="19" t="inlineStr">
        <is>
          <t xml:space="preserve">  NORTH AMERICA</t>
        </is>
      </c>
    </row>
    <row r="44" ht="15" customHeight="1">
      <c r="B44" s="6" t="inlineStr">
        <is>
          <t xml:space="preserve">    United States</t>
        </is>
      </c>
      <c r="C44" s="8" t="n">
        <v>2605</v>
      </c>
      <c r="D44" s="8" t="n">
        <v>4332</v>
      </c>
      <c r="E44" s="8" t="n">
        <v>7114</v>
      </c>
      <c r="F44" s="8" t="n">
        <v>10338</v>
      </c>
      <c r="G44" s="8" t="n">
        <v>14487</v>
      </c>
      <c r="H44" s="8" t="n">
        <v>19760</v>
      </c>
      <c r="I44" s="8" t="n">
        <v>26447</v>
      </c>
      <c r="J44" s="8" t="n">
        <v>34398</v>
      </c>
      <c r="K44" s="8" t="n">
        <v>43118</v>
      </c>
    </row>
    <row r="45" ht="15" customHeight="1">
      <c r="B45" s="6" t="inlineStr">
        <is>
          <t xml:space="preserve">    Canada</t>
        </is>
      </c>
      <c r="C45" s="8" t="n">
        <v>140</v>
      </c>
      <c r="D45" s="8" t="n">
        <v>233</v>
      </c>
      <c r="E45" s="8" t="n">
        <v>383</v>
      </c>
      <c r="F45" s="8" t="n">
        <v>557</v>
      </c>
      <c r="G45" s="8" t="n">
        <v>780</v>
      </c>
      <c r="H45" s="8" t="n">
        <v>1064</v>
      </c>
      <c r="I45" s="8" t="n">
        <v>1424</v>
      </c>
      <c r="J45" s="8" t="n">
        <v>1852</v>
      </c>
      <c r="K45" s="8" t="n">
        <v>2322</v>
      </c>
    </row>
    <row r="46" ht="15" customHeight="1">
      <c r="B46" s="6" t="inlineStr">
        <is>
          <t xml:space="preserve">    Mexico</t>
        </is>
      </c>
      <c r="C46" s="8" t="n">
        <v>60</v>
      </c>
      <c r="D46" s="8" t="n">
        <v>100</v>
      </c>
      <c r="E46" s="8" t="n">
        <v>164</v>
      </c>
      <c r="F46" s="8" t="n">
        <v>239</v>
      </c>
      <c r="G46" s="8" t="n">
        <v>334</v>
      </c>
      <c r="H46" s="8" t="n">
        <v>456</v>
      </c>
      <c r="I46" s="8" t="n">
        <v>610</v>
      </c>
      <c r="J46" s="8" t="n">
        <v>794</v>
      </c>
      <c r="K46" s="8" t="n">
        <v>995</v>
      </c>
    </row>
    <row r="47" ht="15" customHeight="1">
      <c r="B47" s="9" t="inlineStr">
        <is>
          <t xml:space="preserve">  NORTH AMERICA Total</t>
        </is>
      </c>
      <c r="C47" s="10" t="n">
        <v>2806</v>
      </c>
      <c r="D47" s="10" t="n">
        <v>4665</v>
      </c>
      <c r="E47" s="10" t="n">
        <v>7661</v>
      </c>
      <c r="F47" s="10" t="n">
        <v>11133</v>
      </c>
      <c r="G47" s="10" t="n">
        <v>15602</v>
      </c>
      <c r="H47" s="10" t="n">
        <v>21280</v>
      </c>
      <c r="I47" s="10" t="n">
        <v>28482</v>
      </c>
      <c r="J47" s="10" t="n">
        <v>37044</v>
      </c>
      <c r="K47" s="10" t="n">
        <v>46435</v>
      </c>
    </row>
    <row r="48" ht="13" customHeight="1">
      <c r="B48" s="11" t="inlineStr">
        <is>
          <t xml:space="preserve">    % of Total Revenue</t>
        </is>
      </c>
      <c r="C48" s="12" t="n">
        <v>0.5600000000000001</v>
      </c>
      <c r="D48" s="12" t="n">
        <v>0.5600000000000001</v>
      </c>
      <c r="E48" s="12" t="n">
        <v>0.5600000000000001</v>
      </c>
      <c r="F48" s="12" t="n">
        <v>0.5600000000000001</v>
      </c>
      <c r="G48" s="12" t="n">
        <v>0.5600000000000001</v>
      </c>
      <c r="H48" s="12" t="n">
        <v>0.5600000000000001</v>
      </c>
      <c r="I48" s="12" t="n">
        <v>0.5600000000000001</v>
      </c>
      <c r="J48" s="12" t="n">
        <v>0.5600000000000001</v>
      </c>
      <c r="K48" s="12" t="n">
        <v>0.5600000000000001</v>
      </c>
    </row>
    <row r="49" ht="13" customHeight="1">
      <c r="B49" s="11" t="inlineStr">
        <is>
          <t xml:space="preserve">    YoY Growth %</t>
        </is>
      </c>
      <c r="C49" s="13" t="inlineStr">
        <is>
          <t>—</t>
        </is>
      </c>
      <c r="D49" s="12" t="n">
        <v>0.6627</v>
      </c>
      <c r="E49" s="12" t="n">
        <v>0.6423</v>
      </c>
      <c r="F49" s="12" t="n">
        <v>0.4532</v>
      </c>
      <c r="G49" s="12" t="n">
        <v>0.4014</v>
      </c>
      <c r="H49" s="12" t="n">
        <v>0.364</v>
      </c>
      <c r="I49" s="12" t="n">
        <v>0.3384</v>
      </c>
      <c r="J49" s="12" t="n">
        <v>0.3006</v>
      </c>
      <c r="K49" s="12" t="n">
        <v>0.2535</v>
      </c>
    </row>
    <row r="50" ht="4" customHeight="1"/>
    <row r="51" ht="16" customHeight="1">
      <c r="B51" s="19" t="inlineStr">
        <is>
          <t xml:space="preserve">  EUROPE</t>
        </is>
      </c>
    </row>
    <row r="52" ht="15" customHeight="1">
      <c r="B52" s="6" t="inlineStr">
        <is>
          <t xml:space="preserve">    United Kingdom</t>
        </is>
      </c>
      <c r="C52" s="8" t="n">
        <v>326</v>
      </c>
      <c r="D52" s="8" t="n">
        <v>541</v>
      </c>
      <c r="E52" s="8" t="n">
        <v>889</v>
      </c>
      <c r="F52" s="8" t="n">
        <v>1292</v>
      </c>
      <c r="G52" s="8" t="n">
        <v>1811</v>
      </c>
      <c r="H52" s="8" t="n">
        <v>2470</v>
      </c>
      <c r="I52" s="8" t="n">
        <v>3306</v>
      </c>
      <c r="J52" s="8" t="n">
        <v>4300</v>
      </c>
      <c r="K52" s="8" t="n">
        <v>5390</v>
      </c>
    </row>
    <row r="53" ht="15" customHeight="1">
      <c r="B53" s="6" t="inlineStr">
        <is>
          <t xml:space="preserve">    Germany</t>
        </is>
      </c>
      <c r="C53" s="8" t="n">
        <v>190</v>
      </c>
      <c r="D53" s="8" t="n">
        <v>317</v>
      </c>
      <c r="E53" s="8" t="n">
        <v>520</v>
      </c>
      <c r="F53" s="8" t="n">
        <v>755</v>
      </c>
      <c r="G53" s="8" t="n">
        <v>1059</v>
      </c>
      <c r="H53" s="8" t="n">
        <v>1444</v>
      </c>
      <c r="I53" s="8" t="n">
        <v>1933</v>
      </c>
      <c r="J53" s="8" t="n">
        <v>2514</v>
      </c>
      <c r="K53" s="8" t="n">
        <v>3151</v>
      </c>
    </row>
    <row r="54" ht="15" customHeight="1">
      <c r="B54" s="6" t="inlineStr">
        <is>
          <t xml:space="preserve">    France</t>
        </is>
      </c>
      <c r="C54" s="8" t="n">
        <v>140</v>
      </c>
      <c r="D54" s="8" t="n">
        <v>233</v>
      </c>
      <c r="E54" s="8" t="n">
        <v>383</v>
      </c>
      <c r="F54" s="8" t="n">
        <v>557</v>
      </c>
      <c r="G54" s="8" t="n">
        <v>780</v>
      </c>
      <c r="H54" s="8" t="n">
        <v>1064</v>
      </c>
      <c r="I54" s="8" t="n">
        <v>1424</v>
      </c>
      <c r="J54" s="8" t="n">
        <v>1852</v>
      </c>
      <c r="K54" s="8" t="n">
        <v>2322</v>
      </c>
    </row>
    <row r="55" ht="15" customHeight="1">
      <c r="B55" s="6" t="inlineStr">
        <is>
          <t xml:space="preserve">    Other Europe</t>
        </is>
      </c>
      <c r="C55" s="8" t="n">
        <v>446</v>
      </c>
      <c r="D55" s="8" t="n">
        <v>741</v>
      </c>
      <c r="E55" s="8" t="n">
        <v>1218</v>
      </c>
      <c r="F55" s="8" t="n">
        <v>1769</v>
      </c>
      <c r="G55" s="8" t="n">
        <v>2480</v>
      </c>
      <c r="H55" s="8" t="n">
        <v>3382</v>
      </c>
      <c r="I55" s="8" t="n">
        <v>4527</v>
      </c>
      <c r="J55" s="8" t="n">
        <v>5887</v>
      </c>
      <c r="K55" s="8" t="n">
        <v>7380</v>
      </c>
    </row>
    <row r="56" ht="15" customHeight="1">
      <c r="B56" s="9" t="inlineStr">
        <is>
          <t xml:space="preserve">  EUROPE Total</t>
        </is>
      </c>
      <c r="C56" s="10" t="n">
        <v>1102</v>
      </c>
      <c r="D56" s="10" t="n">
        <v>1833</v>
      </c>
      <c r="E56" s="10" t="n">
        <v>3010</v>
      </c>
      <c r="F56" s="10" t="n">
        <v>4374</v>
      </c>
      <c r="G56" s="10" t="n">
        <v>6129</v>
      </c>
      <c r="H56" s="10" t="n">
        <v>8360</v>
      </c>
      <c r="I56" s="10" t="n">
        <v>11189</v>
      </c>
      <c r="J56" s="10" t="n">
        <v>14553</v>
      </c>
      <c r="K56" s="10" t="n">
        <v>18242</v>
      </c>
    </row>
    <row r="57" ht="13" customHeight="1">
      <c r="B57" s="11" t="inlineStr">
        <is>
          <t xml:space="preserve">    % of Total Revenue</t>
        </is>
      </c>
      <c r="C57" s="12" t="n">
        <v>0.22</v>
      </c>
      <c r="D57" s="12" t="n">
        <v>0.22</v>
      </c>
      <c r="E57" s="12" t="n">
        <v>0.22</v>
      </c>
      <c r="F57" s="12" t="n">
        <v>0.22</v>
      </c>
      <c r="G57" s="12" t="n">
        <v>0.22</v>
      </c>
      <c r="H57" s="12" t="n">
        <v>0.22</v>
      </c>
      <c r="I57" s="12" t="n">
        <v>0.22</v>
      </c>
      <c r="J57" s="12" t="n">
        <v>0.22</v>
      </c>
      <c r="K57" s="12" t="n">
        <v>0.22</v>
      </c>
    </row>
    <row r="58" ht="13" customHeight="1">
      <c r="B58" s="11" t="inlineStr">
        <is>
          <t xml:space="preserve">    YoY Growth %</t>
        </is>
      </c>
      <c r="C58" s="13" t="inlineStr">
        <is>
          <t>—</t>
        </is>
      </c>
      <c r="D58" s="12" t="n">
        <v>0.6627</v>
      </c>
      <c r="E58" s="12" t="n">
        <v>0.6423</v>
      </c>
      <c r="F58" s="12" t="n">
        <v>0.4532</v>
      </c>
      <c r="G58" s="12" t="n">
        <v>0.4014</v>
      </c>
      <c r="H58" s="12" t="n">
        <v>0.364</v>
      </c>
      <c r="I58" s="12" t="n">
        <v>0.3384</v>
      </c>
      <c r="J58" s="12" t="n">
        <v>0.3006</v>
      </c>
      <c r="K58" s="12" t="n">
        <v>0.2535</v>
      </c>
    </row>
    <row r="59" ht="4" customHeight="1"/>
    <row r="60" ht="16" customHeight="1">
      <c r="B60" s="19" t="inlineStr">
        <is>
          <t xml:space="preserve">  ASIA-PACIFIC</t>
        </is>
      </c>
    </row>
    <row r="61" ht="15" customHeight="1">
      <c r="B61" s="6" t="inlineStr">
        <is>
          <t xml:space="preserve">    Japan</t>
        </is>
      </c>
      <c r="C61" s="8" t="n">
        <v>210</v>
      </c>
      <c r="D61" s="8" t="n">
        <v>350</v>
      </c>
      <c r="E61" s="8" t="n">
        <v>575</v>
      </c>
      <c r="F61" s="8" t="n">
        <v>835</v>
      </c>
      <c r="G61" s="8" t="n">
        <v>1170</v>
      </c>
      <c r="H61" s="8" t="n">
        <v>1596</v>
      </c>
      <c r="I61" s="8" t="n">
        <v>2136</v>
      </c>
      <c r="J61" s="8" t="n">
        <v>2778</v>
      </c>
      <c r="K61" s="8" t="n">
        <v>3483</v>
      </c>
    </row>
    <row r="62" ht="15" customHeight="1">
      <c r="B62" s="6" t="inlineStr">
        <is>
          <t xml:space="preserve">    Australia</t>
        </is>
      </c>
      <c r="C62" s="8" t="n">
        <v>150</v>
      </c>
      <c r="D62" s="8" t="n">
        <v>250</v>
      </c>
      <c r="E62" s="8" t="n">
        <v>410</v>
      </c>
      <c r="F62" s="8" t="n">
        <v>596</v>
      </c>
      <c r="G62" s="8" t="n">
        <v>836</v>
      </c>
      <c r="H62" s="8" t="n">
        <v>1140</v>
      </c>
      <c r="I62" s="8" t="n">
        <v>1526</v>
      </c>
      <c r="J62" s="8" t="n">
        <v>1984</v>
      </c>
      <c r="K62" s="8" t="n">
        <v>2488</v>
      </c>
    </row>
    <row r="63" ht="15" customHeight="1">
      <c r="B63" s="6" t="inlineStr">
        <is>
          <t xml:space="preserve">    Other Asia-Pacific</t>
        </is>
      </c>
      <c r="C63" s="8" t="n">
        <v>190</v>
      </c>
      <c r="D63" s="8" t="n">
        <v>317</v>
      </c>
      <c r="E63" s="8" t="n">
        <v>520</v>
      </c>
      <c r="F63" s="8" t="n">
        <v>755</v>
      </c>
      <c r="G63" s="8" t="n">
        <v>1059</v>
      </c>
      <c r="H63" s="8" t="n">
        <v>1444</v>
      </c>
      <c r="I63" s="8" t="n">
        <v>1933</v>
      </c>
      <c r="J63" s="8" t="n">
        <v>2514</v>
      </c>
      <c r="K63" s="8" t="n">
        <v>3151</v>
      </c>
    </row>
    <row r="64" ht="15" customHeight="1">
      <c r="B64" s="9" t="inlineStr">
        <is>
          <t xml:space="preserve">  ASIA-PACIFIC Total</t>
        </is>
      </c>
      <c r="C64" s="10" t="n">
        <v>551</v>
      </c>
      <c r="D64" s="10" t="n">
        <v>916</v>
      </c>
      <c r="E64" s="10" t="n">
        <v>1505</v>
      </c>
      <c r="F64" s="10" t="n">
        <v>2187</v>
      </c>
      <c r="G64" s="10" t="n">
        <v>3065</v>
      </c>
      <c r="H64" s="10" t="n">
        <v>4180</v>
      </c>
      <c r="I64" s="10" t="n">
        <v>5595</v>
      </c>
      <c r="J64" s="10" t="n">
        <v>7276</v>
      </c>
      <c r="K64" s="10" t="n">
        <v>9121</v>
      </c>
    </row>
    <row r="65" ht="13" customHeight="1">
      <c r="B65" s="11" t="inlineStr">
        <is>
          <t xml:space="preserve">    % of Total Revenue</t>
        </is>
      </c>
      <c r="C65" s="12" t="n">
        <v>0.11</v>
      </c>
      <c r="D65" s="12" t="n">
        <v>0.11</v>
      </c>
      <c r="E65" s="12" t="n">
        <v>0.11</v>
      </c>
      <c r="F65" s="12" t="n">
        <v>0.11</v>
      </c>
      <c r="G65" s="12" t="n">
        <v>0.11</v>
      </c>
      <c r="H65" s="12" t="n">
        <v>0.11</v>
      </c>
      <c r="I65" s="12" t="n">
        <v>0.11</v>
      </c>
      <c r="J65" s="12" t="n">
        <v>0.11</v>
      </c>
      <c r="K65" s="12" t="n">
        <v>0.11</v>
      </c>
    </row>
    <row r="66" ht="13" customHeight="1">
      <c r="B66" s="11" t="inlineStr">
        <is>
          <t xml:space="preserve">    YoY Growth %</t>
        </is>
      </c>
      <c r="C66" s="13" t="inlineStr">
        <is>
          <t>—</t>
        </is>
      </c>
      <c r="D66" s="12" t="n">
        <v>0.6627</v>
      </c>
      <c r="E66" s="12" t="n">
        <v>0.6423</v>
      </c>
      <c r="F66" s="12" t="n">
        <v>0.4532</v>
      </c>
      <c r="G66" s="12" t="n">
        <v>0.4014</v>
      </c>
      <c r="H66" s="12" t="n">
        <v>0.364</v>
      </c>
      <c r="I66" s="12" t="n">
        <v>0.3384</v>
      </c>
      <c r="J66" s="12" t="n">
        <v>0.3006</v>
      </c>
      <c r="K66" s="12" t="n">
        <v>0.2535</v>
      </c>
    </row>
    <row r="67" ht="4" customHeight="1"/>
    <row r="68" ht="16" customHeight="1">
      <c r="B68" s="19" t="inlineStr">
        <is>
          <t xml:space="preserve">  LATIN AMERICA</t>
        </is>
      </c>
    </row>
    <row r="69" ht="15" customHeight="1">
      <c r="B69" s="6" t="inlineStr">
        <is>
          <t xml:space="preserve">    Brazil</t>
        </is>
      </c>
      <c r="C69" s="8" t="n">
        <v>100</v>
      </c>
      <c r="D69" s="8" t="n">
        <v>167</v>
      </c>
      <c r="E69" s="8" t="n">
        <v>274</v>
      </c>
      <c r="F69" s="8" t="n">
        <v>398</v>
      </c>
      <c r="G69" s="8" t="n">
        <v>557</v>
      </c>
      <c r="H69" s="8" t="n">
        <v>760</v>
      </c>
      <c r="I69" s="8" t="n">
        <v>1017</v>
      </c>
      <c r="J69" s="8" t="n">
        <v>1323</v>
      </c>
      <c r="K69" s="8" t="n">
        <v>1658</v>
      </c>
    </row>
    <row r="70" ht="15" customHeight="1">
      <c r="B70" s="6" t="inlineStr">
        <is>
          <t xml:space="preserve">    Other Latin America</t>
        </is>
      </c>
      <c r="C70" s="8" t="n">
        <v>100</v>
      </c>
      <c r="D70" s="8" t="n">
        <v>167</v>
      </c>
      <c r="E70" s="8" t="n">
        <v>274</v>
      </c>
      <c r="F70" s="8" t="n">
        <v>398</v>
      </c>
      <c r="G70" s="8" t="n">
        <v>557</v>
      </c>
      <c r="H70" s="8" t="n">
        <v>760</v>
      </c>
      <c r="I70" s="8" t="n">
        <v>1017</v>
      </c>
      <c r="J70" s="8" t="n">
        <v>1323</v>
      </c>
      <c r="K70" s="8" t="n">
        <v>1658</v>
      </c>
    </row>
    <row r="71" ht="15" customHeight="1">
      <c r="B71" s="9" t="inlineStr">
        <is>
          <t xml:space="preserve">  LATIN AMERICA Total</t>
        </is>
      </c>
      <c r="C71" s="10" t="n">
        <v>200</v>
      </c>
      <c r="D71" s="10" t="n">
        <v>333</v>
      </c>
      <c r="E71" s="10" t="n">
        <v>547</v>
      </c>
      <c r="F71" s="10" t="n">
        <v>795</v>
      </c>
      <c r="G71" s="10" t="n">
        <v>1114</v>
      </c>
      <c r="H71" s="10" t="n">
        <v>1520</v>
      </c>
      <c r="I71" s="10" t="n">
        <v>2034</v>
      </c>
      <c r="J71" s="10" t="n">
        <v>2646</v>
      </c>
      <c r="K71" s="10" t="n">
        <v>3317</v>
      </c>
    </row>
    <row r="72" ht="13" customHeight="1">
      <c r="B72" s="11" t="inlineStr">
        <is>
          <t xml:space="preserve">    % of Total Revenue</t>
        </is>
      </c>
      <c r="C72" s="12" t="n">
        <v>0.04</v>
      </c>
      <c r="D72" s="12" t="n">
        <v>0.04</v>
      </c>
      <c r="E72" s="12" t="n">
        <v>0.04</v>
      </c>
      <c r="F72" s="12" t="n">
        <v>0.04</v>
      </c>
      <c r="G72" s="12" t="n">
        <v>0.04</v>
      </c>
      <c r="H72" s="12" t="n">
        <v>0.04</v>
      </c>
      <c r="I72" s="12" t="n">
        <v>0.04</v>
      </c>
      <c r="J72" s="12" t="n">
        <v>0.04</v>
      </c>
      <c r="K72" s="12" t="n">
        <v>0.04</v>
      </c>
    </row>
    <row r="73" ht="13" customHeight="1">
      <c r="B73" s="11" t="inlineStr">
        <is>
          <t xml:space="preserve">    YoY Growth %</t>
        </is>
      </c>
      <c r="C73" s="13" t="inlineStr">
        <is>
          <t>—</t>
        </is>
      </c>
      <c r="D73" s="12" t="n">
        <v>0.6627</v>
      </c>
      <c r="E73" s="12" t="n">
        <v>0.6423</v>
      </c>
      <c r="F73" s="12" t="n">
        <v>0.4532</v>
      </c>
      <c r="G73" s="12" t="n">
        <v>0.4014</v>
      </c>
      <c r="H73" s="12" t="n">
        <v>0.364</v>
      </c>
      <c r="I73" s="12" t="n">
        <v>0.3384</v>
      </c>
      <c r="J73" s="12" t="n">
        <v>0.3006</v>
      </c>
      <c r="K73" s="12" t="n">
        <v>0.2535</v>
      </c>
    </row>
    <row r="74" ht="4" customHeight="1"/>
    <row r="75" ht="16" customHeight="1">
      <c r="B75" s="19" t="inlineStr">
        <is>
          <t xml:space="preserve">  REST OF WORLD</t>
        </is>
      </c>
    </row>
    <row r="76" ht="15" customHeight="1">
      <c r="B76" s="6" t="inlineStr">
        <is>
          <t xml:space="preserve">    Middle East &amp; North Africa</t>
        </is>
      </c>
      <c r="C76" s="8" t="n">
        <v>125</v>
      </c>
      <c r="D76" s="8" t="n">
        <v>208</v>
      </c>
      <c r="E76" s="8" t="n">
        <v>342</v>
      </c>
      <c r="F76" s="8" t="n">
        <v>497</v>
      </c>
      <c r="G76" s="8" t="n">
        <v>696</v>
      </c>
      <c r="H76" s="8" t="n">
        <v>950</v>
      </c>
      <c r="I76" s="8" t="n">
        <v>1272</v>
      </c>
      <c r="J76" s="8" t="n">
        <v>1654</v>
      </c>
      <c r="K76" s="8" t="n">
        <v>2073</v>
      </c>
    </row>
    <row r="77" ht="15" customHeight="1">
      <c r="B77" s="6" t="inlineStr">
        <is>
          <t xml:space="preserve">    Sub-Saharan Africa</t>
        </is>
      </c>
      <c r="C77" s="8" t="n">
        <v>40</v>
      </c>
      <c r="D77" s="8" t="n">
        <v>67</v>
      </c>
      <c r="E77" s="8" t="n">
        <v>109</v>
      </c>
      <c r="F77" s="8" t="n">
        <v>159</v>
      </c>
      <c r="G77" s="8" t="n">
        <v>223</v>
      </c>
      <c r="H77" s="8" t="n">
        <v>304</v>
      </c>
      <c r="I77" s="8" t="n">
        <v>407</v>
      </c>
      <c r="J77" s="8" t="n">
        <v>529</v>
      </c>
      <c r="K77" s="8" t="n">
        <v>663</v>
      </c>
    </row>
    <row r="78" ht="15" customHeight="1">
      <c r="B78" s="6" t="inlineStr">
        <is>
          <t xml:space="preserve">    Other</t>
        </is>
      </c>
      <c r="C78" s="8" t="n">
        <v>35</v>
      </c>
      <c r="D78" s="8" t="n">
        <v>58</v>
      </c>
      <c r="E78" s="8" t="n">
        <v>96</v>
      </c>
      <c r="F78" s="8" t="n">
        <v>139</v>
      </c>
      <c r="G78" s="8" t="n">
        <v>195</v>
      </c>
      <c r="H78" s="8" t="n">
        <v>266</v>
      </c>
      <c r="I78" s="8" t="n">
        <v>356</v>
      </c>
      <c r="J78" s="8" t="n">
        <v>463</v>
      </c>
      <c r="K78" s="8" t="n">
        <v>580</v>
      </c>
    </row>
    <row r="79" ht="15" customHeight="1">
      <c r="B79" s="9" t="inlineStr">
        <is>
          <t xml:space="preserve">  REST OF WORLD Total</t>
        </is>
      </c>
      <c r="C79" s="10" t="n">
        <v>200</v>
      </c>
      <c r="D79" s="10" t="n">
        <v>333</v>
      </c>
      <c r="E79" s="10" t="n">
        <v>547</v>
      </c>
      <c r="F79" s="10" t="n">
        <v>795</v>
      </c>
      <c r="G79" s="10" t="n">
        <v>1114</v>
      </c>
      <c r="H79" s="10" t="n">
        <v>1520</v>
      </c>
      <c r="I79" s="10" t="n">
        <v>2034</v>
      </c>
      <c r="J79" s="10" t="n">
        <v>2646</v>
      </c>
      <c r="K79" s="10" t="n">
        <v>3317</v>
      </c>
    </row>
    <row r="80" ht="13" customHeight="1">
      <c r="B80" s="11" t="inlineStr">
        <is>
          <t xml:space="preserve">    % of Total Revenue</t>
        </is>
      </c>
      <c r="C80" s="12" t="n">
        <v>0.04</v>
      </c>
      <c r="D80" s="12" t="n">
        <v>0.04</v>
      </c>
      <c r="E80" s="12" t="n">
        <v>0.04</v>
      </c>
      <c r="F80" s="12" t="n">
        <v>0.04</v>
      </c>
      <c r="G80" s="12" t="n">
        <v>0.04</v>
      </c>
      <c r="H80" s="12" t="n">
        <v>0.04</v>
      </c>
      <c r="I80" s="12" t="n">
        <v>0.04</v>
      </c>
      <c r="J80" s="12" t="n">
        <v>0.04</v>
      </c>
      <c r="K80" s="12" t="n">
        <v>0.04</v>
      </c>
    </row>
    <row r="81" ht="13" customHeight="1">
      <c r="B81" s="11" t="inlineStr">
        <is>
          <t xml:space="preserve">    YoY Growth %</t>
        </is>
      </c>
      <c r="C81" s="13" t="inlineStr">
        <is>
          <t>—</t>
        </is>
      </c>
      <c r="D81" s="12" t="n">
        <v>0.6627</v>
      </c>
      <c r="E81" s="12" t="n">
        <v>0.6423</v>
      </c>
      <c r="F81" s="12" t="n">
        <v>0.4532</v>
      </c>
      <c r="G81" s="12" t="n">
        <v>0.4014</v>
      </c>
      <c r="H81" s="12" t="n">
        <v>0.364</v>
      </c>
      <c r="I81" s="12" t="n">
        <v>0.3384</v>
      </c>
      <c r="J81" s="12" t="n">
        <v>0.3006</v>
      </c>
      <c r="K81" s="12" t="n">
        <v>0.2535</v>
      </c>
    </row>
    <row r="82" ht="4" customHeight="1"/>
    <row r="83" ht="20" customHeight="1">
      <c r="B83" s="14" t="inlineStr">
        <is>
          <t>TOTAL REVENUE — Geography Check</t>
        </is>
      </c>
      <c r="C83" s="15" t="n">
        <v>5010</v>
      </c>
      <c r="D83" s="15" t="n">
        <v>8330</v>
      </c>
      <c r="E83" s="15" t="n">
        <v>13680</v>
      </c>
      <c r="F83" s="15" t="n">
        <v>19880</v>
      </c>
      <c r="G83" s="15" t="n">
        <v>27860</v>
      </c>
      <c r="H83" s="15" t="n">
        <v>38000</v>
      </c>
      <c r="I83" s="15" t="n">
        <v>50860</v>
      </c>
      <c r="J83" s="15" t="n">
        <v>66150</v>
      </c>
      <c r="K83" s="15" t="n">
        <v>82920</v>
      </c>
    </row>
  </sheetData>
  <mergeCells count="12">
    <mergeCell ref="B1:K1"/>
    <mergeCell ref="B14:K14"/>
    <mergeCell ref="B32:K32"/>
    <mergeCell ref="B68:K68"/>
    <mergeCell ref="B43:K43"/>
    <mergeCell ref="B75:K75"/>
    <mergeCell ref="B24:K24"/>
    <mergeCell ref="B2:K2"/>
    <mergeCell ref="B42:K42"/>
    <mergeCell ref="B51:K51"/>
    <mergeCell ref="B5:K5"/>
    <mergeCell ref="B60:K6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K71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4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 ht="26" customHeight="1">
      <c r="B1" s="1" t="inlineStr">
        <is>
          <t>SPACEX — INCOME STATEMENT</t>
        </is>
      </c>
    </row>
    <row r="2" ht="13" customHeight="1">
      <c r="B2" s="2" t="inlineStr">
        <is>
          <t>USD millions (except per-share data)  |  FY ending Dec 31  |  A = Actual, E = Estimate</t>
        </is>
      </c>
    </row>
    <row r="3" ht="5" customHeight="1"/>
    <row r="4" ht="18" customHeight="1">
      <c r="B4" s="3" t="inlineStr">
        <is>
          <t>($M unless noted)</t>
        </is>
      </c>
      <c r="C4" s="3" t="inlineStr">
        <is>
          <t>2022A</t>
        </is>
      </c>
      <c r="D4" s="3" t="inlineStr">
        <is>
          <t>2023A</t>
        </is>
      </c>
      <c r="E4" s="3" t="inlineStr">
        <is>
          <t>2024A</t>
        </is>
      </c>
      <c r="F4" s="3" t="inlineStr">
        <is>
          <t>2025A</t>
        </is>
      </c>
      <c r="G4" s="4" t="inlineStr">
        <is>
          <t>2026E</t>
        </is>
      </c>
      <c r="H4" s="4" t="inlineStr">
        <is>
          <t>2027E</t>
        </is>
      </c>
      <c r="I4" s="4" t="inlineStr">
        <is>
          <t>2028E</t>
        </is>
      </c>
      <c r="J4" s="4" t="inlineStr">
        <is>
          <t>2029E</t>
        </is>
      </c>
      <c r="K4" s="4" t="inlineStr">
        <is>
          <t>2030E</t>
        </is>
      </c>
    </row>
    <row r="5">
      <c r="B5" s="5" t="inlineStr">
        <is>
          <t xml:space="preserve">  REVENUE</t>
        </is>
      </c>
    </row>
    <row r="6" ht="15" customHeight="1">
      <c r="B6" s="6" t="inlineStr">
        <is>
          <t xml:space="preserve">  Launch Services</t>
        </is>
      </c>
      <c r="C6" s="8" t="n">
        <v>2590</v>
      </c>
      <c r="D6" s="8" t="n">
        <v>3530</v>
      </c>
      <c r="E6" s="8" t="n">
        <v>4520</v>
      </c>
      <c r="F6" s="8" t="n">
        <v>5640</v>
      </c>
      <c r="G6" s="8" t="n">
        <v>6900</v>
      </c>
      <c r="H6" s="8" t="n">
        <v>8210</v>
      </c>
      <c r="I6" s="8" t="n">
        <v>9670</v>
      </c>
      <c r="J6" s="8" t="n">
        <v>11080</v>
      </c>
      <c r="K6" s="8" t="n">
        <v>12270</v>
      </c>
    </row>
    <row r="7" ht="15" customHeight="1">
      <c r="B7" s="20" t="inlineStr">
        <is>
          <t xml:space="preserve">    Government Launch</t>
        </is>
      </c>
      <c r="C7" s="8" t="n">
        <v>1420</v>
      </c>
      <c r="D7" s="8" t="n">
        <v>1890</v>
      </c>
      <c r="E7" s="8" t="n">
        <v>2340</v>
      </c>
      <c r="F7" s="8" t="n">
        <v>2850</v>
      </c>
      <c r="G7" s="8" t="n">
        <v>3420</v>
      </c>
      <c r="H7" s="8" t="n">
        <v>3990</v>
      </c>
      <c r="I7" s="8" t="n">
        <v>4550</v>
      </c>
      <c r="J7" s="8" t="n">
        <v>5020</v>
      </c>
      <c r="K7" s="8" t="n">
        <v>5380</v>
      </c>
    </row>
    <row r="8" ht="15" customHeight="1">
      <c r="B8" s="20" t="inlineStr">
        <is>
          <t xml:space="preserve">    Commercial Launch</t>
        </is>
      </c>
      <c r="C8" s="8" t="n">
        <v>680</v>
      </c>
      <c r="D8" s="8" t="n">
        <v>920</v>
      </c>
      <c r="E8" s="8" t="n">
        <v>1150</v>
      </c>
      <c r="F8" s="8" t="n">
        <v>1480</v>
      </c>
      <c r="G8" s="8" t="n">
        <v>1860</v>
      </c>
      <c r="H8" s="8" t="n">
        <v>2250</v>
      </c>
      <c r="I8" s="8" t="n">
        <v>2690</v>
      </c>
      <c r="J8" s="8" t="n">
        <v>3120</v>
      </c>
      <c r="K8" s="8" t="n">
        <v>3460</v>
      </c>
    </row>
    <row r="9" ht="15" customHeight="1">
      <c r="B9" s="20" t="inlineStr">
        <is>
          <t xml:space="preserve">    Rideshare Programs</t>
        </is>
      </c>
      <c r="C9" s="8" t="n">
        <v>210</v>
      </c>
      <c r="D9" s="8" t="n">
        <v>310</v>
      </c>
      <c r="E9" s="8" t="n">
        <v>410</v>
      </c>
      <c r="F9" s="8" t="n">
        <v>530</v>
      </c>
      <c r="G9" s="8" t="n">
        <v>680</v>
      </c>
      <c r="H9" s="8" t="n">
        <v>850</v>
      </c>
      <c r="I9" s="8" t="n">
        <v>1050</v>
      </c>
      <c r="J9" s="8" t="n">
        <v>1260</v>
      </c>
      <c r="K9" s="8" t="n">
        <v>1450</v>
      </c>
    </row>
    <row r="10" ht="15" customHeight="1">
      <c r="B10" s="20" t="inlineStr">
        <is>
          <t xml:space="preserve">    Human Spaceflight</t>
        </is>
      </c>
      <c r="C10" s="8" t="n">
        <v>280</v>
      </c>
      <c r="D10" s="8" t="n">
        <v>410</v>
      </c>
      <c r="E10" s="8" t="n">
        <v>620</v>
      </c>
      <c r="F10" s="8" t="n">
        <v>780</v>
      </c>
      <c r="G10" s="8" t="n">
        <v>940</v>
      </c>
      <c r="H10" s="8" t="n">
        <v>1120</v>
      </c>
      <c r="I10" s="8" t="n">
        <v>1380</v>
      </c>
      <c r="J10" s="8" t="n">
        <v>1680</v>
      </c>
      <c r="K10" s="8" t="n">
        <v>1980</v>
      </c>
    </row>
    <row r="11" ht="15" customHeight="1">
      <c r="B11" s="6" t="inlineStr">
        <is>
          <t xml:space="preserve">  Starlink Connectivity</t>
        </is>
      </c>
      <c r="C11" s="8" t="n">
        <v>2300</v>
      </c>
      <c r="D11" s="8" t="n">
        <v>4520</v>
      </c>
      <c r="E11" s="8" t="n">
        <v>8380</v>
      </c>
      <c r="F11" s="8" t="n">
        <v>12360</v>
      </c>
      <c r="G11" s="8" t="n">
        <v>16640</v>
      </c>
      <c r="H11" s="8" t="n">
        <v>21810</v>
      </c>
      <c r="I11" s="8" t="n">
        <v>28300</v>
      </c>
      <c r="J11" s="8" t="n">
        <v>35770</v>
      </c>
      <c r="K11" s="8" t="n">
        <v>43700</v>
      </c>
    </row>
    <row r="12" ht="15" customHeight="1">
      <c r="B12" s="20" t="inlineStr">
        <is>
          <t xml:space="preserve">    Consumer Residential</t>
        </is>
      </c>
      <c r="C12" s="8" t="n">
        <v>1820</v>
      </c>
      <c r="D12" s="8" t="n">
        <v>3240</v>
      </c>
      <c r="E12" s="8" t="n">
        <v>5810</v>
      </c>
      <c r="F12" s="8" t="n">
        <v>8420</v>
      </c>
      <c r="G12" s="8" t="n">
        <v>11200</v>
      </c>
      <c r="H12" s="8" t="n">
        <v>14600</v>
      </c>
      <c r="I12" s="8" t="n">
        <v>18800</v>
      </c>
      <c r="J12" s="8" t="n">
        <v>23400</v>
      </c>
      <c r="K12" s="8" t="n">
        <v>28100</v>
      </c>
    </row>
    <row r="13" ht="15" customHeight="1">
      <c r="B13" s="20" t="inlineStr">
        <is>
          <t xml:space="preserve">    Maritime</t>
        </is>
      </c>
      <c r="C13" s="8" t="n">
        <v>180</v>
      </c>
      <c r="D13" s="8" t="n">
        <v>420</v>
      </c>
      <c r="E13" s="8" t="n">
        <v>720</v>
      </c>
      <c r="F13" s="8" t="n">
        <v>980</v>
      </c>
      <c r="G13" s="8" t="n">
        <v>1260</v>
      </c>
      <c r="H13" s="8" t="n">
        <v>1580</v>
      </c>
      <c r="I13" s="8" t="n">
        <v>1940</v>
      </c>
      <c r="J13" s="8" t="n">
        <v>2360</v>
      </c>
      <c r="K13" s="8" t="n">
        <v>2780</v>
      </c>
    </row>
    <row r="14" ht="15" customHeight="1">
      <c r="B14" s="20" t="inlineStr">
        <is>
          <t xml:space="preserve">    Aviation</t>
        </is>
      </c>
      <c r="C14" s="8" t="n">
        <v>120</v>
      </c>
      <c r="D14" s="8" t="n">
        <v>310</v>
      </c>
      <c r="E14" s="8" t="n">
        <v>580</v>
      </c>
      <c r="F14" s="8" t="n">
        <v>840</v>
      </c>
      <c r="G14" s="8" t="n">
        <v>1120</v>
      </c>
      <c r="H14" s="8" t="n">
        <v>1450</v>
      </c>
      <c r="I14" s="8" t="n">
        <v>1840</v>
      </c>
      <c r="J14" s="8" t="n">
        <v>2290</v>
      </c>
      <c r="K14" s="8" t="n">
        <v>2780</v>
      </c>
    </row>
    <row r="15" ht="15" customHeight="1">
      <c r="B15" s="20" t="inlineStr">
        <is>
          <t xml:space="preserve">    Enterprise / Government</t>
        </is>
      </c>
      <c r="C15" s="8" t="n">
        <v>180</v>
      </c>
      <c r="D15" s="8" t="n">
        <v>510</v>
      </c>
      <c r="E15" s="8" t="n">
        <v>1090</v>
      </c>
      <c r="F15" s="8" t="n">
        <v>1640</v>
      </c>
      <c r="G15" s="8" t="n">
        <v>2200</v>
      </c>
      <c r="H15" s="8" t="n">
        <v>2840</v>
      </c>
      <c r="I15" s="8" t="n">
        <v>3620</v>
      </c>
      <c r="J15" s="8" t="n">
        <v>4520</v>
      </c>
      <c r="K15" s="8" t="n">
        <v>5440</v>
      </c>
    </row>
    <row r="16" ht="15" customHeight="1">
      <c r="B16" s="20" t="inlineStr">
        <is>
          <t xml:space="preserve">    Direct-to-Cell</t>
        </is>
      </c>
      <c r="C16" s="8" t="n">
        <v>0</v>
      </c>
      <c r="D16" s="8" t="n">
        <v>40</v>
      </c>
      <c r="E16" s="8" t="n">
        <v>180</v>
      </c>
      <c r="F16" s="8" t="n">
        <v>480</v>
      </c>
      <c r="G16" s="8" t="n">
        <v>860</v>
      </c>
      <c r="H16" s="8" t="n">
        <v>1340</v>
      </c>
      <c r="I16" s="8" t="n">
        <v>2100</v>
      </c>
      <c r="J16" s="8" t="n">
        <v>3200</v>
      </c>
      <c r="K16" s="8" t="n">
        <v>4600</v>
      </c>
    </row>
    <row r="17" ht="15" customHeight="1">
      <c r="B17" s="6" t="inlineStr">
        <is>
          <t xml:space="preserve">  AI &amp; Technology (xAI)</t>
        </is>
      </c>
      <c r="C17" s="8" t="n">
        <v>0</v>
      </c>
      <c r="D17" s="8" t="n">
        <v>100</v>
      </c>
      <c r="E17" s="8" t="n">
        <v>490</v>
      </c>
      <c r="F17" s="8" t="n">
        <v>1500</v>
      </c>
      <c r="G17" s="8" t="n">
        <v>3800</v>
      </c>
      <c r="H17" s="8" t="n">
        <v>7300</v>
      </c>
      <c r="I17" s="8" t="n">
        <v>12000</v>
      </c>
      <c r="J17" s="8" t="n">
        <v>18200</v>
      </c>
      <c r="K17" s="8" t="n">
        <v>25600</v>
      </c>
    </row>
    <row r="18" ht="15" customHeight="1">
      <c r="B18" s="20" t="inlineStr">
        <is>
          <t xml:space="preserve">    Grok Subscriptions</t>
        </is>
      </c>
      <c r="C18" s="8" t="n">
        <v>0</v>
      </c>
      <c r="D18" s="8" t="n">
        <v>80</v>
      </c>
      <c r="E18" s="8" t="n">
        <v>320</v>
      </c>
      <c r="F18" s="8" t="n">
        <v>890</v>
      </c>
      <c r="G18" s="8" t="n">
        <v>2100</v>
      </c>
      <c r="H18" s="8" t="n">
        <v>3850</v>
      </c>
      <c r="I18" s="8" t="n">
        <v>6200</v>
      </c>
      <c r="J18" s="8" t="n">
        <v>9400</v>
      </c>
      <c r="K18" s="8" t="n">
        <v>13200</v>
      </c>
    </row>
    <row r="19" ht="15" customHeight="1">
      <c r="B19" s="20" t="inlineStr">
        <is>
          <t xml:space="preserve">    AI Compute / Cloud</t>
        </is>
      </c>
      <c r="C19" s="8" t="n">
        <v>0</v>
      </c>
      <c r="D19" s="8" t="n">
        <v>20</v>
      </c>
      <c r="E19" s="8" t="n">
        <v>110</v>
      </c>
      <c r="F19" s="8" t="n">
        <v>380</v>
      </c>
      <c r="G19" s="8" t="n">
        <v>1050</v>
      </c>
      <c r="H19" s="8" t="n">
        <v>2100</v>
      </c>
      <c r="I19" s="8" t="n">
        <v>3500</v>
      </c>
      <c r="J19" s="8" t="n">
        <v>5200</v>
      </c>
      <c r="K19" s="8" t="n">
        <v>7400</v>
      </c>
    </row>
    <row r="20" ht="15" customHeight="1">
      <c r="B20" s="20" t="inlineStr">
        <is>
          <t xml:space="preserve">    Enterprise AI</t>
        </is>
      </c>
      <c r="C20" s="8" t="n">
        <v>0</v>
      </c>
      <c r="D20" s="8" t="n">
        <v>0</v>
      </c>
      <c r="E20" s="8" t="n">
        <v>60</v>
      </c>
      <c r="F20" s="8" t="n">
        <v>230</v>
      </c>
      <c r="G20" s="8" t="n">
        <v>650</v>
      </c>
      <c r="H20" s="8" t="n">
        <v>1350</v>
      </c>
      <c r="I20" s="8" t="n">
        <v>2300</v>
      </c>
      <c r="J20" s="8" t="n">
        <v>3600</v>
      </c>
      <c r="K20" s="8" t="n">
        <v>5000</v>
      </c>
    </row>
    <row r="21" ht="15" customHeight="1">
      <c r="B21" s="6" t="inlineStr">
        <is>
          <t xml:space="preserve">  Other Revenue</t>
        </is>
      </c>
      <c r="C21" s="8" t="n">
        <v>120</v>
      </c>
      <c r="D21" s="8" t="n">
        <v>180</v>
      </c>
      <c r="E21" s="8" t="n">
        <v>290</v>
      </c>
      <c r="F21" s="8" t="n">
        <v>380</v>
      </c>
      <c r="G21" s="8" t="n">
        <v>520</v>
      </c>
      <c r="H21" s="8" t="n">
        <v>680</v>
      </c>
      <c r="I21" s="8" t="n">
        <v>890</v>
      </c>
      <c r="J21" s="8" t="n">
        <v>1100</v>
      </c>
      <c r="K21" s="8" t="n">
        <v>1350</v>
      </c>
    </row>
    <row r="22" ht="18" customHeight="1">
      <c r="B22" s="14" t="inlineStr">
        <is>
          <t>TOTAL REVENUE</t>
        </is>
      </c>
      <c r="C22" s="15" t="n">
        <v>5010</v>
      </c>
      <c r="D22" s="15" t="n">
        <v>8330</v>
      </c>
      <c r="E22" s="15" t="n">
        <v>13680</v>
      </c>
      <c r="F22" s="15" t="n">
        <v>19880</v>
      </c>
      <c r="G22" s="15" t="n">
        <v>27860</v>
      </c>
      <c r="H22" s="15" t="n">
        <v>38000</v>
      </c>
      <c r="I22" s="15" t="n">
        <v>50860</v>
      </c>
      <c r="J22" s="15" t="n">
        <v>66150</v>
      </c>
      <c r="K22" s="15" t="n">
        <v>82920</v>
      </c>
    </row>
    <row r="23" ht="13" customHeight="1">
      <c r="B23" s="21" t="inlineStr">
        <is>
          <t xml:space="preserve">  YoY Growth %</t>
        </is>
      </c>
      <c r="C23" s="13" t="inlineStr">
        <is>
          <t>—</t>
        </is>
      </c>
      <c r="D23" s="12" t="n">
        <v>0.6627</v>
      </c>
      <c r="E23" s="12" t="n">
        <v>0.6423</v>
      </c>
      <c r="F23" s="12" t="n">
        <v>0.4532</v>
      </c>
      <c r="G23" s="12" t="n">
        <v>0.4014</v>
      </c>
      <c r="H23" s="12" t="n">
        <v>0.364</v>
      </c>
      <c r="I23" s="12" t="n">
        <v>0.3384</v>
      </c>
      <c r="J23" s="12" t="n">
        <v>0.3006</v>
      </c>
      <c r="K23" s="12" t="n">
        <v>0.2535</v>
      </c>
    </row>
    <row r="24" ht="5" customHeight="1"/>
    <row r="25">
      <c r="B25" s="19" t="inlineStr">
        <is>
          <t xml:space="preserve">  COST OF REVENUE</t>
        </is>
      </c>
    </row>
    <row r="26" ht="15" customHeight="1">
      <c r="B26" s="6" t="inlineStr">
        <is>
          <t xml:space="preserve">  Launch Services COGS</t>
        </is>
      </c>
      <c r="C26" s="8" t="n">
        <v>1865</v>
      </c>
      <c r="D26" s="8" t="n">
        <v>2471</v>
      </c>
      <c r="E26" s="8" t="n">
        <v>3028</v>
      </c>
      <c r="F26" s="8" t="n">
        <v>3610</v>
      </c>
      <c r="G26" s="8" t="n">
        <v>4209</v>
      </c>
      <c r="H26" s="8" t="n">
        <v>4762</v>
      </c>
      <c r="I26" s="8" t="n">
        <v>5318</v>
      </c>
      <c r="J26" s="8" t="n">
        <v>5872</v>
      </c>
      <c r="K26" s="8" t="n">
        <v>6258</v>
      </c>
    </row>
    <row r="27" ht="15" customHeight="1">
      <c r="B27" s="6" t="inlineStr">
        <is>
          <t xml:space="preserve">  Starlink Connectivity COGS</t>
        </is>
      </c>
      <c r="C27" s="8" t="n">
        <v>1518</v>
      </c>
      <c r="D27" s="8" t="n">
        <v>2848</v>
      </c>
      <c r="E27" s="8" t="n">
        <v>5028</v>
      </c>
      <c r="F27" s="8" t="n">
        <v>7045</v>
      </c>
      <c r="G27" s="8" t="n">
        <v>8986</v>
      </c>
      <c r="H27" s="8" t="n">
        <v>11123</v>
      </c>
      <c r="I27" s="8" t="n">
        <v>13584</v>
      </c>
      <c r="J27" s="8" t="n">
        <v>16454</v>
      </c>
      <c r="K27" s="8" t="n">
        <v>19665</v>
      </c>
    </row>
    <row r="28" ht="15" customHeight="1">
      <c r="B28" s="6" t="inlineStr">
        <is>
          <t xml:space="preserve">  AI &amp; Technology COGS</t>
        </is>
      </c>
      <c r="C28" s="8" t="n">
        <v>0</v>
      </c>
      <c r="D28" s="8" t="n">
        <v>60</v>
      </c>
      <c r="E28" s="8" t="n">
        <v>270</v>
      </c>
      <c r="F28" s="8" t="n">
        <v>720</v>
      </c>
      <c r="G28" s="8" t="n">
        <v>1596</v>
      </c>
      <c r="H28" s="8" t="n">
        <v>2774</v>
      </c>
      <c r="I28" s="8" t="n">
        <v>4200</v>
      </c>
      <c r="J28" s="8" t="n">
        <v>6006</v>
      </c>
      <c r="K28" s="8" t="n">
        <v>8192</v>
      </c>
    </row>
    <row r="29" ht="15" customHeight="1">
      <c r="B29" s="6" t="inlineStr">
        <is>
          <t xml:space="preserve">  Other COGS</t>
        </is>
      </c>
      <c r="C29" s="8" t="n">
        <v>96</v>
      </c>
      <c r="D29" s="8" t="n">
        <v>140</v>
      </c>
      <c r="E29" s="8" t="n">
        <v>220</v>
      </c>
      <c r="F29" s="8" t="n">
        <v>281</v>
      </c>
      <c r="G29" s="8" t="n">
        <v>374</v>
      </c>
      <c r="H29" s="8" t="n">
        <v>476</v>
      </c>
      <c r="I29" s="8" t="n">
        <v>605</v>
      </c>
      <c r="J29" s="8" t="n">
        <v>726</v>
      </c>
      <c r="K29" s="8" t="n">
        <v>864</v>
      </c>
    </row>
    <row r="30" ht="15" customHeight="1">
      <c r="B30" s="14" t="inlineStr">
        <is>
          <t>TOTAL COST OF REVENUE</t>
        </is>
      </c>
      <c r="C30" s="22" t="n">
        <v>3479</v>
      </c>
      <c r="D30" s="22" t="n">
        <v>5519</v>
      </c>
      <c r="E30" s="22" t="n">
        <v>8546</v>
      </c>
      <c r="F30" s="22" t="n">
        <v>11656</v>
      </c>
      <c r="G30" s="22" t="n">
        <v>15165</v>
      </c>
      <c r="H30" s="22" t="n">
        <v>19135</v>
      </c>
      <c r="I30" s="22" t="n">
        <v>23708</v>
      </c>
      <c r="J30" s="22" t="n">
        <v>29059</v>
      </c>
      <c r="K30" s="22" t="n">
        <v>34979</v>
      </c>
    </row>
    <row r="31" ht="5" customHeight="1"/>
    <row r="32" ht="17" customHeight="1">
      <c r="B32" s="14" t="inlineStr">
        <is>
          <t>GROSS PROFIT</t>
        </is>
      </c>
      <c r="C32" s="23" t="n">
        <v>1531</v>
      </c>
      <c r="D32" s="23" t="n">
        <v>2811</v>
      </c>
      <c r="E32" s="23" t="n">
        <v>5134</v>
      </c>
      <c r="F32" s="23" t="n">
        <v>8224</v>
      </c>
      <c r="G32" s="23" t="n">
        <v>12695</v>
      </c>
      <c r="H32" s="23" t="n">
        <v>18865</v>
      </c>
      <c r="I32" s="23" t="n">
        <v>27152</v>
      </c>
      <c r="J32" s="23" t="n">
        <v>37091</v>
      </c>
      <c r="K32" s="23" t="n">
        <v>47941</v>
      </c>
    </row>
    <row r="33" ht="15" customHeight="1">
      <c r="B33" s="24" t="inlineStr">
        <is>
          <t xml:space="preserve">  Gross Margin %</t>
        </is>
      </c>
      <c r="C33" s="17" t="n">
        <v>0.3056</v>
      </c>
      <c r="D33" s="17" t="n">
        <v>0.3375</v>
      </c>
      <c r="E33" s="17" t="n">
        <v>0.3753</v>
      </c>
      <c r="F33" s="17" t="n">
        <v>0.4137</v>
      </c>
      <c r="G33" s="17" t="n">
        <v>0.4557</v>
      </c>
      <c r="H33" s="17" t="n">
        <v>0.4964</v>
      </c>
      <c r="I33" s="17" t="n">
        <v>0.5339</v>
      </c>
      <c r="J33" s="17" t="n">
        <v>0.5607</v>
      </c>
      <c r="K33" s="17" t="n">
        <v>0.5782</v>
      </c>
    </row>
    <row r="34" ht="5" customHeight="1"/>
    <row r="35">
      <c r="B35" s="19" t="inlineStr">
        <is>
          <t xml:space="preserve">  OPERATING EXPENSES</t>
        </is>
      </c>
    </row>
    <row r="36" ht="15" customHeight="1">
      <c r="B36" s="6" t="inlineStr">
        <is>
          <t xml:space="preserve">  Research &amp; Development</t>
        </is>
      </c>
      <c r="C36" s="8" t="n">
        <v>927</v>
      </c>
      <c r="D36" s="8" t="n">
        <v>1483</v>
      </c>
      <c r="E36" s="8" t="n">
        <v>2257</v>
      </c>
      <c r="F36" s="8" t="n">
        <v>3022</v>
      </c>
      <c r="G36" s="8" t="n">
        <v>3761</v>
      </c>
      <c r="H36" s="8" t="n">
        <v>4636</v>
      </c>
      <c r="I36" s="8" t="n">
        <v>5696</v>
      </c>
      <c r="J36" s="8" t="n">
        <v>6813</v>
      </c>
      <c r="K36" s="8" t="n">
        <v>7960</v>
      </c>
    </row>
    <row r="37" ht="15" customHeight="1">
      <c r="B37" s="20" t="inlineStr">
        <is>
          <t xml:space="preserve">    % of Revenue</t>
        </is>
      </c>
      <c r="C37" s="25" t="n">
        <v>0.185</v>
      </c>
      <c r="D37" s="25" t="n">
        <v>0.178</v>
      </c>
      <c r="E37" s="25" t="n">
        <v>0.165</v>
      </c>
      <c r="F37" s="25" t="n">
        <v>0.152</v>
      </c>
      <c r="G37" s="25" t="n">
        <v>0.135</v>
      </c>
      <c r="H37" s="25" t="n">
        <v>0.122</v>
      </c>
      <c r="I37" s="25" t="n">
        <v>0.112</v>
      </c>
      <c r="J37" s="25" t="n">
        <v>0.103</v>
      </c>
      <c r="K37" s="25" t="n">
        <v>0.096</v>
      </c>
    </row>
    <row r="38" ht="15" customHeight="1">
      <c r="B38" s="6" t="inlineStr">
        <is>
          <t xml:space="preserve">  Sales &amp; Marketing</t>
        </is>
      </c>
      <c r="C38" s="8" t="n">
        <v>311</v>
      </c>
      <c r="D38" s="8" t="n">
        <v>541</v>
      </c>
      <c r="E38" s="8" t="n">
        <v>930</v>
      </c>
      <c r="F38" s="8" t="n">
        <v>1431</v>
      </c>
      <c r="G38" s="8" t="n">
        <v>1950</v>
      </c>
      <c r="H38" s="8" t="n">
        <v>2546</v>
      </c>
      <c r="I38" s="8" t="n">
        <v>3204</v>
      </c>
      <c r="J38" s="8" t="n">
        <v>3903</v>
      </c>
      <c r="K38" s="8" t="n">
        <v>4644</v>
      </c>
    </row>
    <row r="39" ht="15" customHeight="1">
      <c r="B39" s="20" t="inlineStr">
        <is>
          <t xml:space="preserve">    % of Revenue</t>
        </is>
      </c>
      <c r="C39" s="25" t="n">
        <v>0.062</v>
      </c>
      <c r="D39" s="25" t="n">
        <v>0.065</v>
      </c>
      <c r="E39" s="25" t="n">
        <v>0.068</v>
      </c>
      <c r="F39" s="25" t="n">
        <v>0.07199999999999999</v>
      </c>
      <c r="G39" s="25" t="n">
        <v>0.07000000000000001</v>
      </c>
      <c r="H39" s="25" t="n">
        <v>0.067</v>
      </c>
      <c r="I39" s="25" t="n">
        <v>0.063</v>
      </c>
      <c r="J39" s="25" t="n">
        <v>0.059</v>
      </c>
      <c r="K39" s="25" t="n">
        <v>0.056</v>
      </c>
    </row>
    <row r="40" ht="15" customHeight="1">
      <c r="B40" s="6" t="inlineStr">
        <is>
          <t xml:space="preserve">  General &amp; Administrative</t>
        </is>
      </c>
      <c r="C40" s="8" t="n">
        <v>190</v>
      </c>
      <c r="D40" s="8" t="n">
        <v>300</v>
      </c>
      <c r="E40" s="8" t="n">
        <v>465</v>
      </c>
      <c r="F40" s="8" t="n">
        <v>636</v>
      </c>
      <c r="G40" s="8" t="n">
        <v>836</v>
      </c>
      <c r="H40" s="8" t="n">
        <v>1064</v>
      </c>
      <c r="I40" s="8" t="n">
        <v>1322</v>
      </c>
      <c r="J40" s="8" t="n">
        <v>1588</v>
      </c>
      <c r="K40" s="8" t="n">
        <v>1907</v>
      </c>
    </row>
    <row r="41" ht="15" customHeight="1">
      <c r="B41" s="20" t="inlineStr">
        <is>
          <t xml:space="preserve">    % of Revenue</t>
        </is>
      </c>
      <c r="C41" s="25" t="n">
        <v>0.038</v>
      </c>
      <c r="D41" s="25" t="n">
        <v>0.036</v>
      </c>
      <c r="E41" s="25" t="n">
        <v>0.034</v>
      </c>
      <c r="F41" s="25" t="n">
        <v>0.032</v>
      </c>
      <c r="G41" s="25" t="n">
        <v>0.03</v>
      </c>
      <c r="H41" s="25" t="n">
        <v>0.028</v>
      </c>
      <c r="I41" s="25" t="n">
        <v>0.026</v>
      </c>
      <c r="J41" s="25" t="n">
        <v>0.024</v>
      </c>
      <c r="K41" s="25" t="n">
        <v>0.023</v>
      </c>
    </row>
    <row r="42" ht="15" customHeight="1">
      <c r="B42" s="6" t="inlineStr">
        <is>
          <t xml:space="preserve">  Stock-Based Compensation</t>
        </is>
      </c>
      <c r="C42" s="8" t="n">
        <v>225</v>
      </c>
      <c r="D42" s="8" t="n">
        <v>350</v>
      </c>
      <c r="E42" s="8" t="n">
        <v>520</v>
      </c>
      <c r="F42" s="8" t="n">
        <v>696</v>
      </c>
      <c r="G42" s="8" t="n">
        <v>892</v>
      </c>
      <c r="H42" s="8" t="n">
        <v>1102</v>
      </c>
      <c r="I42" s="8" t="n">
        <v>1322</v>
      </c>
      <c r="J42" s="8" t="n">
        <v>1588</v>
      </c>
      <c r="K42" s="8" t="n">
        <v>1824</v>
      </c>
    </row>
    <row r="43" ht="15" customHeight="1">
      <c r="B43" s="20" t="inlineStr">
        <is>
          <t xml:space="preserve">    % of Revenue</t>
        </is>
      </c>
      <c r="C43" s="25" t="n">
        <v>0.045</v>
      </c>
      <c r="D43" s="25" t="n">
        <v>0.042</v>
      </c>
      <c r="E43" s="25" t="n">
        <v>0.038</v>
      </c>
      <c r="F43" s="25" t="n">
        <v>0.035</v>
      </c>
      <c r="G43" s="25" t="n">
        <v>0.032</v>
      </c>
      <c r="H43" s="25" t="n">
        <v>0.029</v>
      </c>
      <c r="I43" s="25" t="n">
        <v>0.026</v>
      </c>
      <c r="J43" s="25" t="n">
        <v>0.024</v>
      </c>
      <c r="K43" s="25" t="n">
        <v>0.022</v>
      </c>
    </row>
    <row r="44" ht="15" customHeight="1">
      <c r="B44" s="6" t="inlineStr">
        <is>
          <t xml:space="preserve">  Depreciation &amp; Amortization</t>
        </is>
      </c>
      <c r="C44" s="8" t="n">
        <v>411</v>
      </c>
      <c r="D44" s="8" t="n">
        <v>708</v>
      </c>
      <c r="E44" s="8" t="n">
        <v>1204</v>
      </c>
      <c r="F44" s="8" t="n">
        <v>1809</v>
      </c>
      <c r="G44" s="8" t="n">
        <v>2507</v>
      </c>
      <c r="H44" s="8" t="n">
        <v>3344</v>
      </c>
      <c r="I44" s="8" t="n">
        <v>4323</v>
      </c>
      <c r="J44" s="8" t="n">
        <v>5424</v>
      </c>
      <c r="K44" s="8" t="n">
        <v>6551</v>
      </c>
    </row>
    <row r="45" ht="15" customHeight="1">
      <c r="B45" s="20" t="inlineStr">
        <is>
          <t xml:space="preserve">    % of Revenue</t>
        </is>
      </c>
      <c r="C45" s="25" t="n">
        <v>0.082</v>
      </c>
      <c r="D45" s="25" t="n">
        <v>0.08500000000000001</v>
      </c>
      <c r="E45" s="25" t="n">
        <v>0.08799999999999999</v>
      </c>
      <c r="F45" s="25" t="n">
        <v>0.091</v>
      </c>
      <c r="G45" s="25" t="n">
        <v>0.09</v>
      </c>
      <c r="H45" s="25" t="n">
        <v>0.08799999999999999</v>
      </c>
      <c r="I45" s="25" t="n">
        <v>0.08500000000000001</v>
      </c>
      <c r="J45" s="25" t="n">
        <v>0.082</v>
      </c>
      <c r="K45" s="25" t="n">
        <v>0.079</v>
      </c>
    </row>
    <row r="46" ht="15" customHeight="1">
      <c r="B46" s="14" t="inlineStr">
        <is>
          <t>TOTAL OPERATING EXPENSES</t>
        </is>
      </c>
      <c r="C46" s="22" t="n">
        <v>2064</v>
      </c>
      <c r="D46" s="22" t="n">
        <v>3382</v>
      </c>
      <c r="E46" s="22" t="n">
        <v>5376</v>
      </c>
      <c r="F46" s="22" t="n">
        <v>7594</v>
      </c>
      <c r="G46" s="22" t="n">
        <v>9946</v>
      </c>
      <c r="H46" s="22" t="n">
        <v>12692</v>
      </c>
      <c r="I46" s="22" t="n">
        <v>15868</v>
      </c>
      <c r="J46" s="22" t="n">
        <v>19316</v>
      </c>
      <c r="K46" s="22" t="n">
        <v>22886</v>
      </c>
    </row>
    <row r="47" ht="15" customHeight="1">
      <c r="B47" s="6" t="inlineStr">
        <is>
          <t xml:space="preserve">  % of Revenue</t>
        </is>
      </c>
      <c r="C47" s="25" t="n">
        <v>0.412</v>
      </c>
      <c r="D47" s="25" t="n">
        <v>0.406</v>
      </c>
      <c r="E47" s="25" t="n">
        <v>0.393</v>
      </c>
      <c r="F47" s="25" t="n">
        <v>0.382</v>
      </c>
      <c r="G47" s="25" t="n">
        <v>0.357</v>
      </c>
      <c r="H47" s="25" t="n">
        <v>0.334</v>
      </c>
      <c r="I47" s="25" t="n">
        <v>0.312</v>
      </c>
      <c r="J47" s="25" t="n">
        <v>0.292</v>
      </c>
      <c r="K47" s="25" t="n">
        <v>0.276</v>
      </c>
    </row>
    <row r="48" ht="5" customHeight="1"/>
    <row r="49" ht="17" customHeight="1">
      <c r="B49" s="14" t="inlineStr">
        <is>
          <t>EBITDA</t>
        </is>
      </c>
      <c r="C49" s="26" t="n">
        <v>-122</v>
      </c>
      <c r="D49" s="26" t="n">
        <v>137</v>
      </c>
      <c r="E49" s="26" t="n">
        <v>961</v>
      </c>
      <c r="F49" s="26" t="n">
        <v>2439</v>
      </c>
      <c r="G49" s="26" t="n">
        <v>5256</v>
      </c>
      <c r="H49" s="26" t="n">
        <v>9517</v>
      </c>
      <c r="I49" s="26" t="n">
        <v>15607</v>
      </c>
      <c r="J49" s="26" t="n">
        <v>23200</v>
      </c>
      <c r="K49" s="26" t="n">
        <v>31606</v>
      </c>
    </row>
    <row r="50" ht="15" customHeight="1">
      <c r="B50" s="24" t="inlineStr">
        <is>
          <t xml:space="preserve">  EBITDA Margin %</t>
        </is>
      </c>
      <c r="C50" s="17" t="n">
        <v>-0.0244</v>
      </c>
      <c r="D50" s="17" t="n">
        <v>0.0165</v>
      </c>
      <c r="E50" s="17" t="n">
        <v>0.0703</v>
      </c>
      <c r="F50" s="17" t="n">
        <v>0.1227</v>
      </c>
      <c r="G50" s="17" t="n">
        <v>0.1887</v>
      </c>
      <c r="H50" s="17" t="n">
        <v>0.2504</v>
      </c>
      <c r="I50" s="17" t="n">
        <v>0.3069</v>
      </c>
      <c r="J50" s="17" t="n">
        <v>0.3507</v>
      </c>
      <c r="K50" s="17" t="n">
        <v>0.3812</v>
      </c>
    </row>
    <row r="51" ht="5" customHeight="1"/>
    <row r="52" ht="15" customHeight="1">
      <c r="B52" s="14" t="inlineStr">
        <is>
          <t>EBIT (Operating Income)</t>
        </is>
      </c>
      <c r="C52" s="27" t="n">
        <v>-533</v>
      </c>
      <c r="D52" s="27" t="n">
        <v>-571</v>
      </c>
      <c r="E52" s="27" t="n">
        <v>-243</v>
      </c>
      <c r="F52" s="27" t="n">
        <v>630</v>
      </c>
      <c r="G52" s="27" t="n">
        <v>2749</v>
      </c>
      <c r="H52" s="27" t="n">
        <v>6173</v>
      </c>
      <c r="I52" s="27" t="n">
        <v>11284</v>
      </c>
      <c r="J52" s="27" t="n">
        <v>17776</v>
      </c>
      <c r="K52" s="27" t="n">
        <v>25055</v>
      </c>
    </row>
    <row r="53" ht="15" customHeight="1">
      <c r="B53" s="6" t="inlineStr">
        <is>
          <t xml:space="preserve">  EBIT Margin %</t>
        </is>
      </c>
      <c r="C53" s="25" t="n">
        <v>-0.1064</v>
      </c>
      <c r="D53" s="25" t="n">
        <v>-0.06850000000000001</v>
      </c>
      <c r="E53" s="25" t="n">
        <v>-0.0177</v>
      </c>
      <c r="F53" s="25" t="n">
        <v>0.0317</v>
      </c>
      <c r="G53" s="25" t="n">
        <v>0.0987</v>
      </c>
      <c r="H53" s="25" t="n">
        <v>0.1624</v>
      </c>
      <c r="I53" s="25" t="n">
        <v>0.2219</v>
      </c>
      <c r="J53" s="25" t="n">
        <v>0.2687</v>
      </c>
      <c r="K53" s="25" t="n">
        <v>0.3022</v>
      </c>
    </row>
    <row r="54" ht="5" customHeight="1"/>
    <row r="55">
      <c r="B55" s="19" t="inlineStr">
        <is>
          <t xml:space="preserve">  BELOW THE LINE</t>
        </is>
      </c>
    </row>
    <row r="56" ht="15" customHeight="1">
      <c r="B56" s="6" t="inlineStr">
        <is>
          <t xml:space="preserve">  Interest Expense</t>
        </is>
      </c>
      <c r="C56" s="8" t="n">
        <v>-80</v>
      </c>
      <c r="D56" s="8" t="n">
        <v>-110</v>
      </c>
      <c r="E56" s="8" t="n">
        <v>-130</v>
      </c>
      <c r="F56" s="8" t="n">
        <v>-120</v>
      </c>
      <c r="G56" s="8" t="n">
        <v>-100</v>
      </c>
      <c r="H56" s="8" t="n">
        <v>-85</v>
      </c>
      <c r="I56" s="8" t="n">
        <v>-70</v>
      </c>
      <c r="J56" s="8" t="n">
        <v>-55</v>
      </c>
      <c r="K56" s="8" t="n">
        <v>-40</v>
      </c>
    </row>
    <row r="57" ht="15" customHeight="1">
      <c r="B57" s="6" t="inlineStr">
        <is>
          <t xml:space="preserve">  Interest Income</t>
        </is>
      </c>
      <c r="C57" s="8" t="n">
        <v>45</v>
      </c>
      <c r="D57" s="8" t="n">
        <v>60</v>
      </c>
      <c r="E57" s="8" t="n">
        <v>90</v>
      </c>
      <c r="F57" s="8" t="n">
        <v>180</v>
      </c>
      <c r="G57" s="8" t="n">
        <v>280</v>
      </c>
      <c r="H57" s="8" t="n">
        <v>380</v>
      </c>
      <c r="I57" s="8" t="n">
        <v>490</v>
      </c>
      <c r="J57" s="8" t="n">
        <v>620</v>
      </c>
      <c r="K57" s="8" t="n">
        <v>780</v>
      </c>
    </row>
    <row r="58" ht="15" customHeight="1">
      <c r="B58" s="6" t="inlineStr">
        <is>
          <t xml:space="preserve">  Other Income / (Expense)</t>
        </is>
      </c>
      <c r="C58" s="8" t="n">
        <v>20</v>
      </c>
      <c r="D58" s="8" t="n">
        <v>25</v>
      </c>
      <c r="E58" s="8" t="n">
        <v>30</v>
      </c>
      <c r="F58" s="8" t="n">
        <v>40</v>
      </c>
      <c r="G58" s="8" t="n">
        <v>50</v>
      </c>
      <c r="H58" s="8" t="n">
        <v>60</v>
      </c>
      <c r="I58" s="8" t="n">
        <v>70</v>
      </c>
      <c r="J58" s="8" t="n">
        <v>80</v>
      </c>
      <c r="K58" s="8" t="n">
        <v>90</v>
      </c>
    </row>
    <row r="59" ht="5" customHeight="1"/>
    <row r="60" ht="15" customHeight="1">
      <c r="B60" s="14" t="inlineStr">
        <is>
          <t>PRE-TAX INCOME</t>
        </is>
      </c>
      <c r="C60" s="28" t="n">
        <v>-548</v>
      </c>
      <c r="D60" s="28" t="n">
        <v>-596</v>
      </c>
      <c r="E60" s="28" t="n">
        <v>-253</v>
      </c>
      <c r="F60" s="28" t="n">
        <v>730</v>
      </c>
      <c r="G60" s="28" t="n">
        <v>2979</v>
      </c>
      <c r="H60" s="28" t="n">
        <v>6528</v>
      </c>
      <c r="I60" s="28" t="n">
        <v>11774</v>
      </c>
      <c r="J60" s="28" t="n">
        <v>18421</v>
      </c>
      <c r="K60" s="28" t="n">
        <v>25885</v>
      </c>
    </row>
    <row r="61" ht="15" customHeight="1">
      <c r="B61" s="6" t="inlineStr">
        <is>
          <t xml:space="preserve">  Income Tax Expense</t>
        </is>
      </c>
      <c r="C61" s="8" t="n">
        <v>0</v>
      </c>
      <c r="D61" s="8" t="n">
        <v>0</v>
      </c>
      <c r="E61" s="8" t="n">
        <v>5</v>
      </c>
      <c r="F61" s="8" t="n">
        <v>-36</v>
      </c>
      <c r="G61" s="8" t="n">
        <v>-238</v>
      </c>
      <c r="H61" s="8" t="n">
        <v>-783</v>
      </c>
      <c r="I61" s="8" t="n">
        <v>-1766</v>
      </c>
      <c r="J61" s="8" t="n">
        <v>-3132</v>
      </c>
      <c r="K61" s="8" t="n">
        <v>-4659</v>
      </c>
    </row>
    <row r="62" ht="15" customHeight="1">
      <c r="B62" s="6" t="inlineStr">
        <is>
          <t xml:space="preserve">  Effective Tax Rate</t>
        </is>
      </c>
      <c r="C62" s="25" t="n">
        <v>0</v>
      </c>
      <c r="D62" s="25" t="n">
        <v>0</v>
      </c>
      <c r="E62" s="25" t="n">
        <v>0.02</v>
      </c>
      <c r="F62" s="25" t="n">
        <v>0.05</v>
      </c>
      <c r="G62" s="25" t="n">
        <v>0.08</v>
      </c>
      <c r="H62" s="25" t="n">
        <v>0.12</v>
      </c>
      <c r="I62" s="25" t="n">
        <v>0.15</v>
      </c>
      <c r="J62" s="25" t="n">
        <v>0.17</v>
      </c>
      <c r="K62" s="25" t="n">
        <v>0.18</v>
      </c>
    </row>
    <row r="63" ht="5" customHeight="1"/>
    <row r="64" ht="17" customHeight="1">
      <c r="B64" s="14" t="inlineStr">
        <is>
          <t>NET INCOME</t>
        </is>
      </c>
      <c r="C64" s="29" t="n">
        <v>-548</v>
      </c>
      <c r="D64" s="29" t="n">
        <v>-596</v>
      </c>
      <c r="E64" s="29" t="n">
        <v>-247</v>
      </c>
      <c r="F64" s="29" t="n">
        <v>693</v>
      </c>
      <c r="G64" s="29" t="n">
        <v>2741</v>
      </c>
      <c r="H64" s="29" t="n">
        <v>5745</v>
      </c>
      <c r="I64" s="29" t="n">
        <v>10008</v>
      </c>
      <c r="J64" s="29" t="n">
        <v>15289</v>
      </c>
      <c r="K64" s="29" t="n">
        <v>21226</v>
      </c>
    </row>
    <row r="65" ht="15" customHeight="1">
      <c r="B65" s="24" t="inlineStr">
        <is>
          <t xml:space="preserve">  Net Margin %</t>
        </is>
      </c>
      <c r="C65" s="17" t="n">
        <v>-0.1094</v>
      </c>
      <c r="D65" s="17" t="n">
        <v>-0.07149999999999999</v>
      </c>
      <c r="E65" s="17" t="n">
        <v>-0.0181</v>
      </c>
      <c r="F65" s="17" t="n">
        <v>0.0349</v>
      </c>
      <c r="G65" s="17" t="n">
        <v>0.0984</v>
      </c>
      <c r="H65" s="17" t="n">
        <v>0.1512</v>
      </c>
      <c r="I65" s="17" t="n">
        <v>0.1968</v>
      </c>
      <c r="J65" s="17" t="n">
        <v>0.2311</v>
      </c>
      <c r="K65" s="17" t="n">
        <v>0.256</v>
      </c>
    </row>
    <row r="66" ht="5" customHeight="1"/>
    <row r="67">
      <c r="B67" s="19" t="inlineStr">
        <is>
          <t xml:space="preserve">  SHARES &amp; EPS</t>
        </is>
      </c>
    </row>
    <row r="68" ht="15" customHeight="1">
      <c r="B68" s="6" t="inlineStr">
        <is>
          <t xml:space="preserve">  Basic Shares Outstanding (M)</t>
        </is>
      </c>
      <c r="C68" s="8" t="n">
        <v>1450</v>
      </c>
      <c r="D68" s="8" t="n">
        <v>1480</v>
      </c>
      <c r="E68" s="8" t="n">
        <v>1510</v>
      </c>
      <c r="F68" s="8" t="n">
        <v>1560</v>
      </c>
      <c r="G68" s="8" t="n">
        <v>2080</v>
      </c>
      <c r="H68" s="8" t="n">
        <v>2100</v>
      </c>
      <c r="I68" s="8" t="n">
        <v>2110</v>
      </c>
      <c r="J68" s="8" t="n">
        <v>2120</v>
      </c>
      <c r="K68" s="8" t="n">
        <v>2130</v>
      </c>
    </row>
    <row r="69" ht="15" customHeight="1">
      <c r="B69" s="6" t="inlineStr">
        <is>
          <t xml:space="preserve">  Diluted Shares Outstanding (M)</t>
        </is>
      </c>
      <c r="C69" s="8" t="n">
        <v>1510</v>
      </c>
      <c r="D69" s="8" t="n">
        <v>1540</v>
      </c>
      <c r="E69" s="8" t="n">
        <v>1580</v>
      </c>
      <c r="F69" s="8" t="n">
        <v>1640</v>
      </c>
      <c r="G69" s="8" t="n">
        <v>2120</v>
      </c>
      <c r="H69" s="8" t="n">
        <v>2140</v>
      </c>
      <c r="I69" s="8" t="n">
        <v>2155</v>
      </c>
      <c r="J69" s="8" t="n">
        <v>2165</v>
      </c>
      <c r="K69" s="8" t="n">
        <v>2175</v>
      </c>
    </row>
    <row r="70" ht="15" customHeight="1">
      <c r="B70" s="24" t="inlineStr">
        <is>
          <t xml:space="preserve">  Basic EPS</t>
        </is>
      </c>
      <c r="C70" s="30" t="n">
        <v>0</v>
      </c>
      <c r="D70" s="30" t="n">
        <v>0</v>
      </c>
      <c r="E70" s="30" t="n">
        <v>0</v>
      </c>
      <c r="F70" s="30" t="n">
        <v>0</v>
      </c>
      <c r="G70" s="30" t="n">
        <v>1</v>
      </c>
      <c r="H70" s="30" t="n">
        <v>3</v>
      </c>
      <c r="I70" s="30" t="n">
        <v>5</v>
      </c>
      <c r="J70" s="30" t="n">
        <v>7</v>
      </c>
      <c r="K70" s="30" t="n">
        <v>10</v>
      </c>
    </row>
    <row r="71" ht="15" customHeight="1">
      <c r="B71" s="24" t="inlineStr">
        <is>
          <t xml:space="preserve">  Diluted EPS</t>
        </is>
      </c>
      <c r="C71" s="30" t="n">
        <v>0</v>
      </c>
      <c r="D71" s="30" t="n">
        <v>0</v>
      </c>
      <c r="E71" s="30" t="n">
        <v>0</v>
      </c>
      <c r="F71" s="30" t="n">
        <v>0</v>
      </c>
      <c r="G71" s="30" t="n">
        <v>1</v>
      </c>
      <c r="H71" s="30" t="n">
        <v>3</v>
      </c>
      <c r="I71" s="30" t="n">
        <v>5</v>
      </c>
      <c r="J71" s="30" t="n">
        <v>7</v>
      </c>
      <c r="K71" s="30" t="n">
        <v>10</v>
      </c>
    </row>
  </sheetData>
  <mergeCells count="7">
    <mergeCell ref="B67:K67"/>
    <mergeCell ref="B1:K1"/>
    <mergeCell ref="B35:K35"/>
    <mergeCell ref="B25:K25"/>
    <mergeCell ref="B55:K55"/>
    <mergeCell ref="B2:K2"/>
    <mergeCell ref="B5:K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K36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4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 ht="26" customHeight="1">
      <c r="B1" s="1" t="inlineStr">
        <is>
          <t>SPACEX — CASH FLOW STATEMENT</t>
        </is>
      </c>
    </row>
    <row r="2" ht="13" customHeight="1">
      <c r="B2" s="2" t="inlineStr">
        <is>
          <t>USD millions  |  FY ending December 31</t>
        </is>
      </c>
    </row>
    <row r="3" ht="5" customHeight="1"/>
    <row r="4" ht="18" customHeight="1">
      <c r="B4" s="3" t="inlineStr">
        <is>
          <t>($M)</t>
        </is>
      </c>
      <c r="C4" s="3" t="inlineStr">
        <is>
          <t>2022A</t>
        </is>
      </c>
      <c r="D4" s="3" t="inlineStr">
        <is>
          <t>2023A</t>
        </is>
      </c>
      <c r="E4" s="3" t="inlineStr">
        <is>
          <t>2024A</t>
        </is>
      </c>
      <c r="F4" s="3" t="inlineStr">
        <is>
          <t>2025A</t>
        </is>
      </c>
      <c r="G4" s="4" t="inlineStr">
        <is>
          <t>2026E</t>
        </is>
      </c>
      <c r="H4" s="4" t="inlineStr">
        <is>
          <t>2027E</t>
        </is>
      </c>
      <c r="I4" s="4" t="inlineStr">
        <is>
          <t>2028E</t>
        </is>
      </c>
      <c r="J4" s="4" t="inlineStr">
        <is>
          <t>2029E</t>
        </is>
      </c>
      <c r="K4" s="4" t="inlineStr">
        <is>
          <t>2030E</t>
        </is>
      </c>
    </row>
    <row r="5">
      <c r="B5" s="5" t="inlineStr">
        <is>
          <t xml:space="preserve">  OPERATING ACTIVITIES</t>
        </is>
      </c>
    </row>
    <row r="6" ht="15" customHeight="1">
      <c r="B6" s="6" t="inlineStr">
        <is>
          <t xml:space="preserve">  Net Income</t>
        </is>
      </c>
      <c r="C6" s="8" t="n">
        <v>-548</v>
      </c>
      <c r="D6" s="8" t="n">
        <v>-596</v>
      </c>
      <c r="E6" s="8" t="n">
        <v>-247</v>
      </c>
      <c r="F6" s="8" t="n">
        <v>693</v>
      </c>
      <c r="G6" s="8" t="n">
        <v>2741</v>
      </c>
      <c r="H6" s="8" t="n">
        <v>5745</v>
      </c>
      <c r="I6" s="8" t="n">
        <v>10008</v>
      </c>
      <c r="J6" s="8" t="n">
        <v>15289</v>
      </c>
      <c r="K6" s="8" t="n">
        <v>21226</v>
      </c>
    </row>
    <row r="7" ht="15" customHeight="1">
      <c r="B7" s="6" t="inlineStr">
        <is>
          <t xml:space="preserve">  Depreciation &amp; Amortization</t>
        </is>
      </c>
      <c r="C7" s="8" t="n">
        <v>411</v>
      </c>
      <c r="D7" s="8" t="n">
        <v>708</v>
      </c>
      <c r="E7" s="8" t="n">
        <v>1204</v>
      </c>
      <c r="F7" s="8" t="n">
        <v>1809</v>
      </c>
      <c r="G7" s="8" t="n">
        <v>2507</v>
      </c>
      <c r="H7" s="8" t="n">
        <v>3344</v>
      </c>
      <c r="I7" s="8" t="n">
        <v>4323</v>
      </c>
      <c r="J7" s="8" t="n">
        <v>5424</v>
      </c>
      <c r="K7" s="8" t="n">
        <v>6551</v>
      </c>
    </row>
    <row r="8" ht="15" customHeight="1">
      <c r="B8" s="6" t="inlineStr">
        <is>
          <t xml:space="preserve">  Stock-Based Compensation</t>
        </is>
      </c>
      <c r="C8" s="8" t="n">
        <v>225</v>
      </c>
      <c r="D8" s="8" t="n">
        <v>350</v>
      </c>
      <c r="E8" s="8" t="n">
        <v>520</v>
      </c>
      <c r="F8" s="8" t="n">
        <v>696</v>
      </c>
      <c r="G8" s="8" t="n">
        <v>892</v>
      </c>
      <c r="H8" s="8" t="n">
        <v>1102</v>
      </c>
      <c r="I8" s="8" t="n">
        <v>1322</v>
      </c>
      <c r="J8" s="8" t="n">
        <v>1588</v>
      </c>
      <c r="K8" s="8" t="n">
        <v>1824</v>
      </c>
    </row>
    <row r="9" ht="15" customHeight="1">
      <c r="B9" s="6" t="inlineStr">
        <is>
          <t xml:space="preserve">  Other Non-Cash Items</t>
        </is>
      </c>
      <c r="C9" s="8" t="n">
        <v>40</v>
      </c>
      <c r="D9" s="8" t="n">
        <v>67</v>
      </c>
      <c r="E9" s="8" t="n">
        <v>109</v>
      </c>
      <c r="F9" s="8" t="n">
        <v>159</v>
      </c>
      <c r="G9" s="8" t="n">
        <v>223</v>
      </c>
      <c r="H9" s="8" t="n">
        <v>304</v>
      </c>
      <c r="I9" s="8" t="n">
        <v>407</v>
      </c>
      <c r="J9" s="8" t="n">
        <v>529</v>
      </c>
      <c r="K9" s="8" t="n">
        <v>663</v>
      </c>
    </row>
    <row r="10" ht="15" customHeight="1">
      <c r="B10" s="6" t="inlineStr">
        <is>
          <t xml:space="preserve">  Changes in Working Capital</t>
        </is>
      </c>
      <c r="C10" s="8" t="n">
        <v>-75</v>
      </c>
      <c r="D10" s="8" t="n">
        <v>-125</v>
      </c>
      <c r="E10" s="8" t="n">
        <v>-205</v>
      </c>
      <c r="F10" s="8" t="n">
        <v>-298</v>
      </c>
      <c r="G10" s="8" t="n">
        <v>-418</v>
      </c>
      <c r="H10" s="8" t="n">
        <v>-570</v>
      </c>
      <c r="I10" s="8" t="n">
        <v>-763</v>
      </c>
      <c r="J10" s="8" t="n">
        <v>-992</v>
      </c>
      <c r="K10" s="8" t="n">
        <v>-1244</v>
      </c>
    </row>
    <row r="11" ht="15" customHeight="1">
      <c r="B11" s="31" t="inlineStr">
        <is>
          <t xml:space="preserve">    (Increase) / Decrease in AR</t>
        </is>
      </c>
      <c r="C11" s="8" t="n">
        <v>-60</v>
      </c>
      <c r="D11" s="8" t="n">
        <v>-100</v>
      </c>
      <c r="E11" s="8" t="n">
        <v>-164</v>
      </c>
      <c r="F11" s="8" t="n">
        <v>-239</v>
      </c>
      <c r="G11" s="8" t="n">
        <v>-334</v>
      </c>
      <c r="H11" s="8" t="n">
        <v>-456</v>
      </c>
      <c r="I11" s="8" t="n">
        <v>-610</v>
      </c>
      <c r="J11" s="8" t="n">
        <v>-794</v>
      </c>
      <c r="K11" s="8" t="n">
        <v>-995</v>
      </c>
    </row>
    <row r="12" ht="15" customHeight="1">
      <c r="B12" s="31" t="inlineStr">
        <is>
          <t xml:space="preserve">    (Increase) / Decrease in Inventory</t>
        </is>
      </c>
      <c r="C12" s="8" t="n">
        <v>-40</v>
      </c>
      <c r="D12" s="8" t="n">
        <v>-67</v>
      </c>
      <c r="E12" s="8" t="n">
        <v>-109</v>
      </c>
      <c r="F12" s="8" t="n">
        <v>-159</v>
      </c>
      <c r="G12" s="8" t="n">
        <v>-223</v>
      </c>
      <c r="H12" s="8" t="n">
        <v>-304</v>
      </c>
      <c r="I12" s="8" t="n">
        <v>-407</v>
      </c>
      <c r="J12" s="8" t="n">
        <v>-529</v>
      </c>
      <c r="K12" s="8" t="n">
        <v>-663</v>
      </c>
    </row>
    <row r="13" ht="15" customHeight="1">
      <c r="B13" s="31" t="inlineStr">
        <is>
          <t xml:space="preserve">    Increase / (Decrease) in AP</t>
        </is>
      </c>
      <c r="C13" s="8" t="n">
        <v>50</v>
      </c>
      <c r="D13" s="8" t="n">
        <v>83</v>
      </c>
      <c r="E13" s="8" t="n">
        <v>137</v>
      </c>
      <c r="F13" s="8" t="n">
        <v>199</v>
      </c>
      <c r="G13" s="8" t="n">
        <v>279</v>
      </c>
      <c r="H13" s="8" t="n">
        <v>380</v>
      </c>
      <c r="I13" s="8" t="n">
        <v>509</v>
      </c>
      <c r="J13" s="8" t="n">
        <v>662</v>
      </c>
      <c r="K13" s="8" t="n">
        <v>829</v>
      </c>
    </row>
    <row r="14" ht="15" customHeight="1">
      <c r="B14" s="31" t="inlineStr">
        <is>
          <t xml:space="preserve">    Other Working Capital</t>
        </is>
      </c>
      <c r="C14" s="8" t="n">
        <v>-25</v>
      </c>
      <c r="D14" s="8" t="n">
        <v>-42</v>
      </c>
      <c r="E14" s="8" t="n">
        <v>-68</v>
      </c>
      <c r="F14" s="8" t="n">
        <v>-99</v>
      </c>
      <c r="G14" s="8" t="n">
        <v>-139</v>
      </c>
      <c r="H14" s="8" t="n">
        <v>-190</v>
      </c>
      <c r="I14" s="8" t="n">
        <v>-254</v>
      </c>
      <c r="J14" s="8" t="n">
        <v>-331</v>
      </c>
      <c r="K14" s="8" t="n">
        <v>-415</v>
      </c>
    </row>
    <row r="15" ht="17" customHeight="1">
      <c r="B15" s="14" t="inlineStr">
        <is>
          <t>CASH FROM OPERATIONS</t>
        </is>
      </c>
      <c r="C15" s="32" t="n">
        <v>13</v>
      </c>
      <c r="D15" s="32" t="n">
        <v>337</v>
      </c>
      <c r="E15" s="32" t="n">
        <v>1271</v>
      </c>
      <c r="F15" s="32" t="n">
        <v>2900</v>
      </c>
      <c r="G15" s="32" t="n">
        <v>5722</v>
      </c>
      <c r="H15" s="32" t="n">
        <v>9621</v>
      </c>
      <c r="I15" s="32" t="n">
        <v>14890</v>
      </c>
      <c r="J15" s="32" t="n">
        <v>21309</v>
      </c>
      <c r="K15" s="32" t="n">
        <v>28357</v>
      </c>
    </row>
    <row r="16" ht="5" customHeight="1"/>
    <row r="17">
      <c r="B17" s="5" t="inlineStr">
        <is>
          <t xml:space="preserve">  INVESTING ACTIVITIES</t>
        </is>
      </c>
    </row>
    <row r="18" ht="15" customHeight="1">
      <c r="B18" s="6" t="inlineStr">
        <is>
          <t xml:space="preserve">  Capital Expenditures</t>
        </is>
      </c>
      <c r="C18" s="8" t="n">
        <v>-1403</v>
      </c>
      <c r="D18" s="8" t="n">
        <v>-2249</v>
      </c>
      <c r="E18" s="8" t="n">
        <v>-3557</v>
      </c>
      <c r="F18" s="8" t="n">
        <v>-4771</v>
      </c>
      <c r="G18" s="8" t="n">
        <v>-6129</v>
      </c>
      <c r="H18" s="8" t="n">
        <v>-7600</v>
      </c>
      <c r="I18" s="8" t="n">
        <v>-9155</v>
      </c>
      <c r="J18" s="8" t="n">
        <v>-10584</v>
      </c>
      <c r="K18" s="8" t="n">
        <v>-12438</v>
      </c>
    </row>
    <row r="19" ht="15" customHeight="1">
      <c r="B19" s="31" t="inlineStr">
        <is>
          <t xml:space="preserve">    % of Revenue</t>
        </is>
      </c>
      <c r="C19" s="25" t="n">
        <v>0.28</v>
      </c>
      <c r="D19" s="25" t="n">
        <v>0.27</v>
      </c>
      <c r="E19" s="25" t="n">
        <v>0.26</v>
      </c>
      <c r="F19" s="25" t="n">
        <v>0.24</v>
      </c>
      <c r="G19" s="25" t="n">
        <v>0.22</v>
      </c>
      <c r="H19" s="25" t="n">
        <v>0.2</v>
      </c>
      <c r="I19" s="25" t="n">
        <v>0.18</v>
      </c>
      <c r="J19" s="25" t="n">
        <v>0.16</v>
      </c>
      <c r="K19" s="25" t="n">
        <v>0.15</v>
      </c>
    </row>
    <row r="20" ht="15" customHeight="1">
      <c r="B20" s="6" t="inlineStr">
        <is>
          <t xml:space="preserve">  Acquisitions &amp; Investments</t>
        </is>
      </c>
      <c r="C20" s="8" t="n">
        <v>-250</v>
      </c>
      <c r="D20" s="8" t="n">
        <v>-380</v>
      </c>
      <c r="E20" s="8" t="n">
        <v>-1200</v>
      </c>
      <c r="F20" s="8" t="n">
        <v>-2100</v>
      </c>
      <c r="G20" s="8" t="n">
        <v>0</v>
      </c>
      <c r="H20" s="8" t="n">
        <v>0</v>
      </c>
      <c r="I20" s="8" t="n">
        <v>0</v>
      </c>
      <c r="J20" s="8" t="n">
        <v>0</v>
      </c>
      <c r="K20" s="8" t="n">
        <v>0</v>
      </c>
    </row>
    <row r="21" ht="15" customHeight="1">
      <c r="B21" s="6" t="inlineStr">
        <is>
          <t xml:space="preserve">  Other Investing</t>
        </is>
      </c>
      <c r="C21" s="8" t="n">
        <v>20</v>
      </c>
      <c r="D21" s="8" t="n">
        <v>30</v>
      </c>
      <c r="E21" s="8" t="n">
        <v>40</v>
      </c>
      <c r="F21" s="8" t="n">
        <v>50</v>
      </c>
      <c r="G21" s="8" t="n">
        <v>60</v>
      </c>
      <c r="H21" s="8" t="n">
        <v>70</v>
      </c>
      <c r="I21" s="8" t="n">
        <v>80</v>
      </c>
      <c r="J21" s="8" t="n">
        <v>90</v>
      </c>
      <c r="K21" s="8" t="n">
        <v>100</v>
      </c>
    </row>
    <row r="22" ht="17" customHeight="1">
      <c r="B22" s="14" t="inlineStr">
        <is>
          <t>CASH FROM INVESTING</t>
        </is>
      </c>
      <c r="C22" s="33" t="n">
        <v>-1653</v>
      </c>
      <c r="D22" s="33" t="n">
        <v>-2629</v>
      </c>
      <c r="E22" s="33" t="n">
        <v>-4757</v>
      </c>
      <c r="F22" s="33" t="n">
        <v>-6871</v>
      </c>
      <c r="G22" s="33" t="n">
        <v>-6129</v>
      </c>
      <c r="H22" s="33" t="n">
        <v>-7600</v>
      </c>
      <c r="I22" s="33" t="n">
        <v>-9155</v>
      </c>
      <c r="J22" s="33" t="n">
        <v>-10584</v>
      </c>
      <c r="K22" s="33" t="n">
        <v>-12438</v>
      </c>
    </row>
    <row r="23" ht="5" customHeight="1"/>
    <row r="24" ht="17" customHeight="1">
      <c r="B24" s="14" t="inlineStr">
        <is>
          <t>FREE CASH FLOW</t>
        </is>
      </c>
      <c r="C24" s="23" t="n">
        <v>-1390</v>
      </c>
      <c r="D24" s="23" t="n">
        <v>-1912</v>
      </c>
      <c r="E24" s="23" t="n">
        <v>-2286</v>
      </c>
      <c r="F24" s="23" t="n">
        <v>-1871</v>
      </c>
      <c r="G24" s="23" t="n">
        <v>-408</v>
      </c>
      <c r="H24" s="23" t="n">
        <v>2021</v>
      </c>
      <c r="I24" s="23" t="n">
        <v>5736</v>
      </c>
      <c r="J24" s="23" t="n">
        <v>10725</v>
      </c>
      <c r="K24" s="23" t="n">
        <v>15919</v>
      </c>
    </row>
    <row r="25" ht="15" customHeight="1">
      <c r="B25" s="24" t="inlineStr">
        <is>
          <t xml:space="preserve">  FCF Margin %</t>
        </is>
      </c>
      <c r="C25" s="17" t="n">
        <v>-0.2774</v>
      </c>
      <c r="D25" s="17" t="n">
        <v>-0.2295</v>
      </c>
      <c r="E25" s="17" t="n">
        <v>-0.1671</v>
      </c>
      <c r="F25" s="17" t="n">
        <v>-0.0941</v>
      </c>
      <c r="G25" s="17" t="n">
        <v>-0.0146</v>
      </c>
      <c r="H25" s="17" t="n">
        <v>0.0532</v>
      </c>
      <c r="I25" s="17" t="n">
        <v>0.1128</v>
      </c>
      <c r="J25" s="17" t="n">
        <v>0.1621</v>
      </c>
      <c r="K25" s="17" t="n">
        <v>0.192</v>
      </c>
    </row>
    <row r="26" ht="5" customHeight="1"/>
    <row r="27">
      <c r="B27" s="5" t="inlineStr">
        <is>
          <t xml:space="preserve">  FINANCING ACTIVITIES</t>
        </is>
      </c>
    </row>
    <row r="28" ht="15" customHeight="1">
      <c r="B28" s="6" t="inlineStr">
        <is>
          <t xml:space="preserve">  Proceeds from Debt Issuance</t>
        </is>
      </c>
      <c r="C28" s="8" t="n">
        <v>500</v>
      </c>
      <c r="D28" s="8" t="n">
        <v>200</v>
      </c>
      <c r="E28" s="8" t="n">
        <v>100</v>
      </c>
      <c r="F28" s="8" t="n">
        <v>0</v>
      </c>
      <c r="G28" s="8" t="n">
        <v>0</v>
      </c>
      <c r="H28" s="8" t="n">
        <v>0</v>
      </c>
      <c r="I28" s="8" t="n">
        <v>0</v>
      </c>
      <c r="J28" s="8" t="n">
        <v>0</v>
      </c>
      <c r="K28" s="8" t="n">
        <v>0</v>
      </c>
    </row>
    <row r="29" ht="15" customHeight="1">
      <c r="B29" s="6" t="inlineStr">
        <is>
          <t xml:space="preserve">  Repayment of Debt</t>
        </is>
      </c>
      <c r="C29" s="8" t="n">
        <v>-100</v>
      </c>
      <c r="D29" s="8" t="n">
        <v>-150</v>
      </c>
      <c r="E29" s="8" t="n">
        <v>-200</v>
      </c>
      <c r="F29" s="8" t="n">
        <v>-200</v>
      </c>
      <c r="G29" s="8" t="n">
        <v>-200</v>
      </c>
      <c r="H29" s="8" t="n">
        <v>-200</v>
      </c>
      <c r="I29" s="8" t="n">
        <v>-150</v>
      </c>
      <c r="J29" s="8" t="n">
        <v>-100</v>
      </c>
      <c r="K29" s="8" t="n">
        <v>-50</v>
      </c>
    </row>
    <row r="30" ht="15" customHeight="1">
      <c r="B30" s="6" t="inlineStr">
        <is>
          <t xml:space="preserve">  Proceeds from Equity / IPO</t>
        </is>
      </c>
      <c r="C30" s="8" t="n">
        <v>0</v>
      </c>
      <c r="D30" s="8" t="n">
        <v>0</v>
      </c>
      <c r="E30" s="8" t="n">
        <v>5000</v>
      </c>
      <c r="F30" s="8" t="n">
        <v>4000</v>
      </c>
      <c r="G30" s="8" t="n">
        <v>75000</v>
      </c>
      <c r="H30" s="8" t="n">
        <v>0</v>
      </c>
      <c r="I30" s="8" t="n">
        <v>0</v>
      </c>
      <c r="J30" s="8" t="n">
        <v>0</v>
      </c>
      <c r="K30" s="8" t="n">
        <v>0</v>
      </c>
    </row>
    <row r="31" ht="15" customHeight="1">
      <c r="B31" s="6" t="inlineStr">
        <is>
          <t xml:space="preserve">  Dividends Paid</t>
        </is>
      </c>
      <c r="C31" s="8" t="n">
        <v>0</v>
      </c>
      <c r="D31" s="8" t="n">
        <v>0</v>
      </c>
      <c r="E31" s="8" t="n">
        <v>0</v>
      </c>
      <c r="F31" s="8" t="n">
        <v>0</v>
      </c>
      <c r="G31" s="8" t="n">
        <v>0</v>
      </c>
      <c r="H31" s="8" t="n">
        <v>0</v>
      </c>
      <c r="I31" s="8" t="n">
        <v>0</v>
      </c>
      <c r="J31" s="8" t="n">
        <v>0</v>
      </c>
      <c r="K31" s="8" t="n">
        <v>0</v>
      </c>
    </row>
    <row r="32" ht="17" customHeight="1">
      <c r="B32" s="14" t="inlineStr">
        <is>
          <t>CASH FROM FINANCING</t>
        </is>
      </c>
      <c r="C32" s="33" t="n">
        <v>400</v>
      </c>
      <c r="D32" s="33" t="n">
        <v>50</v>
      </c>
      <c r="E32" s="33" t="n">
        <v>4900</v>
      </c>
      <c r="F32" s="33" t="n">
        <v>3800</v>
      </c>
      <c r="G32" s="33" t="n">
        <v>74800</v>
      </c>
      <c r="H32" s="33" t="n">
        <v>-200</v>
      </c>
      <c r="I32" s="33" t="n">
        <v>-150</v>
      </c>
      <c r="J32" s="33" t="n">
        <v>-100</v>
      </c>
      <c r="K32" s="33" t="n">
        <v>-50</v>
      </c>
    </row>
    <row r="33" ht="5" customHeight="1"/>
    <row r="34" ht="15" customHeight="1">
      <c r="B34" s="14" t="inlineStr">
        <is>
          <t>NET CHANGE IN CASH</t>
        </is>
      </c>
      <c r="C34" s="27" t="n">
        <v>-1240</v>
      </c>
      <c r="D34" s="27" t="n">
        <v>-2242</v>
      </c>
      <c r="E34" s="27" t="n">
        <v>1414</v>
      </c>
      <c r="F34" s="27" t="n">
        <v>-171</v>
      </c>
      <c r="G34" s="27" t="n">
        <v>74392</v>
      </c>
      <c r="H34" s="27" t="n">
        <v>1821</v>
      </c>
      <c r="I34" s="27" t="n">
        <v>5586</v>
      </c>
      <c r="J34" s="27" t="n">
        <v>10625</v>
      </c>
      <c r="K34" s="27" t="n">
        <v>15869</v>
      </c>
    </row>
    <row r="35" ht="15" customHeight="1">
      <c r="B35" s="6" t="inlineStr">
        <is>
          <t xml:space="preserve">  Beginning Cash &amp; Equivalents</t>
        </is>
      </c>
      <c r="C35" s="8" t="n">
        <v>1200</v>
      </c>
      <c r="D35" s="8" t="n">
        <v>1480</v>
      </c>
      <c r="E35" s="8" t="n">
        <v>1940</v>
      </c>
      <c r="F35" s="8" t="n">
        <v>6120</v>
      </c>
      <c r="G35" s="8" t="n">
        <v>12580</v>
      </c>
      <c r="H35" s="8" t="n">
        <v>84900</v>
      </c>
      <c r="I35" s="8" t="n">
        <v>88600</v>
      </c>
      <c r="J35" s="8" t="n">
        <v>94800</v>
      </c>
      <c r="K35" s="8" t="n">
        <v>104000</v>
      </c>
    </row>
    <row r="36" ht="15" customHeight="1">
      <c r="B36" s="24" t="inlineStr">
        <is>
          <t xml:space="preserve">  Ending Cash &amp; Equivalents</t>
        </is>
      </c>
      <c r="C36" s="27" t="n">
        <v>-40</v>
      </c>
      <c r="D36" s="27" t="n">
        <v>-762</v>
      </c>
      <c r="E36" s="27" t="n">
        <v>3354</v>
      </c>
      <c r="F36" s="27" t="n">
        <v>5949</v>
      </c>
      <c r="G36" s="27" t="n">
        <v>86972</v>
      </c>
      <c r="H36" s="27" t="n">
        <v>86721</v>
      </c>
      <c r="I36" s="27" t="n">
        <v>94186</v>
      </c>
      <c r="J36" s="27" t="n">
        <v>105425</v>
      </c>
      <c r="K36" s="27" t="n">
        <v>119869</v>
      </c>
    </row>
  </sheetData>
  <mergeCells count="5">
    <mergeCell ref="B1:K1"/>
    <mergeCell ref="B17:K17"/>
    <mergeCell ref="B27:K27"/>
    <mergeCell ref="B2:K2"/>
    <mergeCell ref="B5:K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K5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4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 ht="26" customHeight="1">
      <c r="B1" s="1" t="inlineStr">
        <is>
          <t>SPACEX — BALANCE SHEET</t>
        </is>
      </c>
    </row>
    <row r="2" ht="13" customHeight="1">
      <c r="B2" s="2" t="inlineStr">
        <is>
          <t>USD millions  |  As of December 31</t>
        </is>
      </c>
    </row>
    <row r="3" ht="5" customHeight="1"/>
    <row r="4" ht="18" customHeight="1">
      <c r="B4" s="3" t="inlineStr">
        <is>
          <t>($M)</t>
        </is>
      </c>
      <c r="C4" s="3" t="inlineStr">
        <is>
          <t>2022A</t>
        </is>
      </c>
      <c r="D4" s="3" t="inlineStr">
        <is>
          <t>2023A</t>
        </is>
      </c>
      <c r="E4" s="3" t="inlineStr">
        <is>
          <t>2024A</t>
        </is>
      </c>
      <c r="F4" s="3" t="inlineStr">
        <is>
          <t>2025A</t>
        </is>
      </c>
      <c r="G4" s="4" t="inlineStr">
        <is>
          <t>2026E</t>
        </is>
      </c>
      <c r="H4" s="4" t="inlineStr">
        <is>
          <t>2027E</t>
        </is>
      </c>
      <c r="I4" s="4" t="inlineStr">
        <is>
          <t>2028E</t>
        </is>
      </c>
      <c r="J4" s="4" t="inlineStr">
        <is>
          <t>2029E</t>
        </is>
      </c>
      <c r="K4" s="4" t="inlineStr">
        <is>
          <t>2030E</t>
        </is>
      </c>
    </row>
    <row r="5">
      <c r="B5" s="5" t="inlineStr">
        <is>
          <t xml:space="preserve">  ASSETS</t>
        </is>
      </c>
    </row>
    <row r="6">
      <c r="B6" s="34" t="inlineStr">
        <is>
          <t xml:space="preserve">    Current Assets</t>
        </is>
      </c>
    </row>
    <row r="7" ht="15" customHeight="1">
      <c r="B7" s="31" t="inlineStr">
        <is>
          <t xml:space="preserve">    Cash &amp; Cash Equivalents</t>
        </is>
      </c>
      <c r="C7" s="8" t="n">
        <v>-40</v>
      </c>
      <c r="D7" s="8" t="n">
        <v>-762</v>
      </c>
      <c r="E7" s="8" t="n">
        <v>3354</v>
      </c>
      <c r="F7" s="8" t="n">
        <v>5949</v>
      </c>
      <c r="G7" s="8" t="n">
        <v>86972</v>
      </c>
      <c r="H7" s="8" t="n">
        <v>86721</v>
      </c>
      <c r="I7" s="8" t="n">
        <v>94186</v>
      </c>
      <c r="J7" s="8" t="n">
        <v>105425</v>
      </c>
      <c r="K7" s="8" t="n">
        <v>119869</v>
      </c>
    </row>
    <row r="8" ht="15" customHeight="1">
      <c r="B8" s="31" t="inlineStr">
        <is>
          <t xml:space="preserve">    Accounts Receivable, net</t>
        </is>
      </c>
      <c r="C8" s="8" t="n">
        <v>439</v>
      </c>
      <c r="D8" s="8" t="n">
        <v>730</v>
      </c>
      <c r="E8" s="8" t="n">
        <v>1199</v>
      </c>
      <c r="F8" s="8" t="n">
        <v>1743</v>
      </c>
      <c r="G8" s="8" t="n">
        <v>2443</v>
      </c>
      <c r="H8" s="8" t="n">
        <v>3332</v>
      </c>
      <c r="I8" s="8" t="n">
        <v>4459</v>
      </c>
      <c r="J8" s="8" t="n">
        <v>5799</v>
      </c>
      <c r="K8" s="8" t="n">
        <v>7270</v>
      </c>
    </row>
    <row r="9" ht="15" customHeight="1">
      <c r="B9" s="31" t="inlineStr">
        <is>
          <t xml:space="preserve">    Inventory</t>
        </is>
      </c>
      <c r="C9" s="8" t="n">
        <v>172</v>
      </c>
      <c r="D9" s="8" t="n">
        <v>272</v>
      </c>
      <c r="E9" s="8" t="n">
        <v>421</v>
      </c>
      <c r="F9" s="8" t="n">
        <v>575</v>
      </c>
      <c r="G9" s="8" t="n">
        <v>748</v>
      </c>
      <c r="H9" s="8" t="n">
        <v>944</v>
      </c>
      <c r="I9" s="8" t="n">
        <v>1169</v>
      </c>
      <c r="J9" s="8" t="n">
        <v>1433</v>
      </c>
      <c r="K9" s="8" t="n">
        <v>1725</v>
      </c>
    </row>
    <row r="10" ht="15" customHeight="1">
      <c r="B10" s="31" t="inlineStr">
        <is>
          <t xml:space="preserve">    Prepaid Expenses &amp; Other</t>
        </is>
      </c>
      <c r="C10" s="8" t="n">
        <v>90</v>
      </c>
      <c r="D10" s="8" t="n">
        <v>150</v>
      </c>
      <c r="E10" s="8" t="n">
        <v>246</v>
      </c>
      <c r="F10" s="8" t="n">
        <v>358</v>
      </c>
      <c r="G10" s="8" t="n">
        <v>501</v>
      </c>
      <c r="H10" s="8" t="n">
        <v>684</v>
      </c>
      <c r="I10" s="8" t="n">
        <v>915</v>
      </c>
      <c r="J10" s="8" t="n">
        <v>1191</v>
      </c>
      <c r="K10" s="8" t="n">
        <v>1493</v>
      </c>
    </row>
    <row r="11" ht="15" customHeight="1">
      <c r="B11" s="31" t="inlineStr">
        <is>
          <t xml:space="preserve">    Other Current Assets</t>
        </is>
      </c>
      <c r="C11" s="8" t="n">
        <v>60</v>
      </c>
      <c r="D11" s="8" t="n">
        <v>100</v>
      </c>
      <c r="E11" s="8" t="n">
        <v>164</v>
      </c>
      <c r="F11" s="8" t="n">
        <v>239</v>
      </c>
      <c r="G11" s="8" t="n">
        <v>334</v>
      </c>
      <c r="H11" s="8" t="n">
        <v>456</v>
      </c>
      <c r="I11" s="8" t="n">
        <v>610</v>
      </c>
      <c r="J11" s="8" t="n">
        <v>794</v>
      </c>
      <c r="K11" s="8" t="n">
        <v>995</v>
      </c>
    </row>
    <row r="12" ht="17" customHeight="1">
      <c r="B12" s="24" t="inlineStr">
        <is>
          <t xml:space="preserve">  TOTAL CURRENT ASSETS</t>
        </is>
      </c>
      <c r="C12" s="35" t="n">
        <v>721</v>
      </c>
      <c r="D12" s="35" t="n">
        <v>490</v>
      </c>
      <c r="E12" s="35" t="n">
        <v>5385</v>
      </c>
      <c r="F12" s="35" t="n">
        <v>8863</v>
      </c>
      <c r="G12" s="35" t="n">
        <v>90999</v>
      </c>
      <c r="H12" s="35" t="n">
        <v>92136</v>
      </c>
      <c r="I12" s="35" t="n">
        <v>101340</v>
      </c>
      <c r="J12" s="35" t="n">
        <v>114642</v>
      </c>
      <c r="K12" s="35" t="n">
        <v>131351</v>
      </c>
    </row>
    <row r="13" ht="5" customHeight="1"/>
    <row r="14">
      <c r="B14" s="34" t="inlineStr">
        <is>
          <t xml:space="preserve">    Non-Current Assets</t>
        </is>
      </c>
    </row>
    <row r="15" ht="15" customHeight="1">
      <c r="B15" s="31" t="inlineStr">
        <is>
          <t xml:space="preserve">    Property, Plant &amp; Equipment, net</t>
        </is>
      </c>
      <c r="C15" s="8" t="n">
        <v>7292</v>
      </c>
      <c r="D15" s="8" t="n">
        <v>8833</v>
      </c>
      <c r="E15" s="8" t="n">
        <v>11186</v>
      </c>
      <c r="F15" s="8" t="n">
        <v>14148</v>
      </c>
      <c r="G15" s="8" t="n">
        <v>17770</v>
      </c>
      <c r="H15" s="8" t="n">
        <v>22026</v>
      </c>
      <c r="I15" s="8" t="n">
        <v>26858</v>
      </c>
      <c r="J15" s="8" t="n">
        <v>32017</v>
      </c>
      <c r="K15" s="8" t="n">
        <v>37905</v>
      </c>
    </row>
    <row r="16" ht="15" customHeight="1">
      <c r="B16" s="31" t="inlineStr">
        <is>
          <t xml:space="preserve">    Intangible Assets</t>
        </is>
      </c>
      <c r="C16" s="8" t="n">
        <v>225</v>
      </c>
      <c r="D16" s="8" t="n">
        <v>375</v>
      </c>
      <c r="E16" s="8" t="n">
        <v>616</v>
      </c>
      <c r="F16" s="8" t="n">
        <v>895</v>
      </c>
      <c r="G16" s="8" t="n">
        <v>1254</v>
      </c>
      <c r="H16" s="8" t="n">
        <v>1710</v>
      </c>
      <c r="I16" s="8" t="n">
        <v>2289</v>
      </c>
      <c r="J16" s="8" t="n">
        <v>2977</v>
      </c>
      <c r="K16" s="8" t="n">
        <v>3731</v>
      </c>
    </row>
    <row r="17" ht="15" customHeight="1">
      <c r="B17" s="31" t="inlineStr">
        <is>
          <t xml:space="preserve">    Goodwill</t>
        </is>
      </c>
      <c r="C17" s="8" t="n">
        <v>2800</v>
      </c>
      <c r="D17" s="8" t="n">
        <v>2800</v>
      </c>
      <c r="E17" s="8" t="n">
        <v>2800</v>
      </c>
      <c r="F17" s="8" t="n">
        <v>2800</v>
      </c>
      <c r="G17" s="8" t="n">
        <v>3200</v>
      </c>
      <c r="H17" s="8" t="n">
        <v>3200</v>
      </c>
      <c r="I17" s="8" t="n">
        <v>3200</v>
      </c>
      <c r="J17" s="8" t="n">
        <v>3200</v>
      </c>
      <c r="K17" s="8" t="n">
        <v>3200</v>
      </c>
    </row>
    <row r="18" ht="15" customHeight="1">
      <c r="B18" s="31" t="inlineStr">
        <is>
          <t xml:space="preserve">    Other Non-Current Assets</t>
        </is>
      </c>
      <c r="C18" s="8" t="n">
        <v>150</v>
      </c>
      <c r="D18" s="8" t="n">
        <v>250</v>
      </c>
      <c r="E18" s="8" t="n">
        <v>410</v>
      </c>
      <c r="F18" s="8" t="n">
        <v>596</v>
      </c>
      <c r="G18" s="8" t="n">
        <v>836</v>
      </c>
      <c r="H18" s="8" t="n">
        <v>1140</v>
      </c>
      <c r="I18" s="8" t="n">
        <v>1526</v>
      </c>
      <c r="J18" s="8" t="n">
        <v>1984</v>
      </c>
      <c r="K18" s="8" t="n">
        <v>2488</v>
      </c>
    </row>
    <row r="19" ht="17" customHeight="1">
      <c r="B19" s="24" t="inlineStr">
        <is>
          <t xml:space="preserve">  TOTAL NON-CURRENT ASSETS</t>
        </is>
      </c>
      <c r="C19" s="35" t="n">
        <v>10468</v>
      </c>
      <c r="D19" s="35" t="n">
        <v>12258</v>
      </c>
      <c r="E19" s="35" t="n">
        <v>15012</v>
      </c>
      <c r="F19" s="35" t="n">
        <v>18439</v>
      </c>
      <c r="G19" s="35" t="n">
        <v>23059</v>
      </c>
      <c r="H19" s="35" t="n">
        <v>28076</v>
      </c>
      <c r="I19" s="35" t="n">
        <v>33872</v>
      </c>
      <c r="J19" s="35" t="n">
        <v>40179</v>
      </c>
      <c r="K19" s="35" t="n">
        <v>47324</v>
      </c>
    </row>
    <row r="20" ht="5" customHeight="1"/>
    <row r="21" ht="18" customHeight="1">
      <c r="B21" s="14" t="inlineStr">
        <is>
          <t>TOTAL ASSETS</t>
        </is>
      </c>
      <c r="C21" s="36" t="n">
        <v>11189</v>
      </c>
      <c r="D21" s="36" t="n">
        <v>12748</v>
      </c>
      <c r="E21" s="36" t="n">
        <v>20397</v>
      </c>
      <c r="F21" s="36" t="n">
        <v>27302</v>
      </c>
      <c r="G21" s="36" t="n">
        <v>114058</v>
      </c>
      <c r="H21" s="36" t="n">
        <v>120212</v>
      </c>
      <c r="I21" s="36" t="n">
        <v>135212</v>
      </c>
      <c r="J21" s="36" t="n">
        <v>154820</v>
      </c>
      <c r="K21" s="36" t="n">
        <v>178675</v>
      </c>
    </row>
    <row r="22" ht="5" customHeight="1"/>
    <row r="23">
      <c r="B23" s="5" t="inlineStr">
        <is>
          <t xml:space="preserve">  LIABILITIES</t>
        </is>
      </c>
    </row>
    <row r="24">
      <c r="B24" s="34" t="inlineStr">
        <is>
          <t xml:space="preserve">    Current Liabilities</t>
        </is>
      </c>
    </row>
    <row r="25" ht="15" customHeight="1">
      <c r="B25" s="31" t="inlineStr">
        <is>
          <t xml:space="preserve">    Accounts Payable</t>
        </is>
      </c>
      <c r="C25" s="8" t="n">
        <v>267</v>
      </c>
      <c r="D25" s="8" t="n">
        <v>423</v>
      </c>
      <c r="E25" s="8" t="n">
        <v>656</v>
      </c>
      <c r="F25" s="8" t="n">
        <v>894</v>
      </c>
      <c r="G25" s="8" t="n">
        <v>1163</v>
      </c>
      <c r="H25" s="8" t="n">
        <v>1468</v>
      </c>
      <c r="I25" s="8" t="n">
        <v>1819</v>
      </c>
      <c r="J25" s="8" t="n">
        <v>2229</v>
      </c>
      <c r="K25" s="8" t="n">
        <v>2683</v>
      </c>
    </row>
    <row r="26" ht="15" customHeight="1">
      <c r="B26" s="31" t="inlineStr">
        <is>
          <t xml:space="preserve">    Accrued Expenses &amp; Liabilities</t>
        </is>
      </c>
      <c r="C26" s="8" t="n">
        <v>110</v>
      </c>
      <c r="D26" s="8" t="n">
        <v>183</v>
      </c>
      <c r="E26" s="8" t="n">
        <v>301</v>
      </c>
      <c r="F26" s="8" t="n">
        <v>437</v>
      </c>
      <c r="G26" s="8" t="n">
        <v>613</v>
      </c>
      <c r="H26" s="8" t="n">
        <v>836</v>
      </c>
      <c r="I26" s="8" t="n">
        <v>1119</v>
      </c>
      <c r="J26" s="8" t="n">
        <v>1455</v>
      </c>
      <c r="K26" s="8" t="n">
        <v>1824</v>
      </c>
    </row>
    <row r="27" ht="15" customHeight="1">
      <c r="B27" s="31" t="inlineStr">
        <is>
          <t xml:space="preserve">    Deferred Revenue</t>
        </is>
      </c>
      <c r="C27" s="8" t="n">
        <v>92</v>
      </c>
      <c r="D27" s="8" t="n">
        <v>181</v>
      </c>
      <c r="E27" s="8" t="n">
        <v>335</v>
      </c>
      <c r="F27" s="8" t="n">
        <v>494</v>
      </c>
      <c r="G27" s="8" t="n">
        <v>666</v>
      </c>
      <c r="H27" s="8" t="n">
        <v>872</v>
      </c>
      <c r="I27" s="8" t="n">
        <v>1132</v>
      </c>
      <c r="J27" s="8" t="n">
        <v>1431</v>
      </c>
      <c r="K27" s="8" t="n">
        <v>1748</v>
      </c>
    </row>
    <row r="28" ht="15" customHeight="1">
      <c r="B28" s="31" t="inlineStr">
        <is>
          <t xml:space="preserve">    Current Portion of Long-Term Debt</t>
        </is>
      </c>
      <c r="C28" s="8" t="n">
        <v>200</v>
      </c>
      <c r="D28" s="8" t="n">
        <v>200</v>
      </c>
      <c r="E28" s="8" t="n">
        <v>150</v>
      </c>
      <c r="F28" s="8" t="n">
        <v>150</v>
      </c>
      <c r="G28" s="8" t="n">
        <v>100</v>
      </c>
      <c r="H28" s="8" t="n">
        <v>100</v>
      </c>
      <c r="I28" s="8" t="n">
        <v>100</v>
      </c>
      <c r="J28" s="8" t="n">
        <v>50</v>
      </c>
      <c r="K28" s="8" t="n">
        <v>50</v>
      </c>
    </row>
    <row r="29" ht="15" customHeight="1">
      <c r="B29" s="31" t="inlineStr">
        <is>
          <t xml:space="preserve">    Other Current Liabilities</t>
        </is>
      </c>
      <c r="C29" s="8" t="n">
        <v>75</v>
      </c>
      <c r="D29" s="8" t="n">
        <v>125</v>
      </c>
      <c r="E29" s="8" t="n">
        <v>205</v>
      </c>
      <c r="F29" s="8" t="n">
        <v>298</v>
      </c>
      <c r="G29" s="8" t="n">
        <v>418</v>
      </c>
      <c r="H29" s="8" t="n">
        <v>570</v>
      </c>
      <c r="I29" s="8" t="n">
        <v>763</v>
      </c>
      <c r="J29" s="8" t="n">
        <v>992</v>
      </c>
      <c r="K29" s="8" t="n">
        <v>1244</v>
      </c>
    </row>
    <row r="30" ht="17" customHeight="1">
      <c r="B30" s="24" t="inlineStr">
        <is>
          <t xml:space="preserve">  TOTAL CURRENT LIABILITIES</t>
        </is>
      </c>
      <c r="C30" s="33" t="n">
        <v>744</v>
      </c>
      <c r="D30" s="33" t="n">
        <v>1112</v>
      </c>
      <c r="E30" s="33" t="n">
        <v>1647</v>
      </c>
      <c r="F30" s="33" t="n">
        <v>2274</v>
      </c>
      <c r="G30" s="33" t="n">
        <v>2960</v>
      </c>
      <c r="H30" s="33" t="n">
        <v>3846</v>
      </c>
      <c r="I30" s="33" t="n">
        <v>4932</v>
      </c>
      <c r="J30" s="33" t="n">
        <v>6158</v>
      </c>
      <c r="K30" s="33" t="n">
        <v>7549</v>
      </c>
    </row>
    <row r="31" ht="5" customHeight="1"/>
    <row r="32">
      <c r="B32" s="34" t="inlineStr">
        <is>
          <t xml:space="preserve">    Non-Current Liabilities</t>
        </is>
      </c>
    </row>
    <row r="33" ht="15" customHeight="1">
      <c r="B33" s="31" t="inlineStr">
        <is>
          <t xml:space="preserve">    Long-Term Debt</t>
        </is>
      </c>
      <c r="C33" s="8" t="n">
        <v>2100</v>
      </c>
      <c r="D33" s="8" t="n">
        <v>2150</v>
      </c>
      <c r="E33" s="8" t="n">
        <v>1950</v>
      </c>
      <c r="F33" s="8" t="n">
        <v>1750</v>
      </c>
      <c r="G33" s="8" t="n">
        <v>1550</v>
      </c>
      <c r="H33" s="8" t="n">
        <v>1350</v>
      </c>
      <c r="I33" s="8" t="n">
        <v>1200</v>
      </c>
      <c r="J33" s="8" t="n">
        <v>1100</v>
      </c>
      <c r="K33" s="8" t="n">
        <v>1050</v>
      </c>
    </row>
    <row r="34" ht="15" customHeight="1">
      <c r="B34" s="31" t="inlineStr">
        <is>
          <t xml:space="preserve">    Deferred Tax Liabilities</t>
        </is>
      </c>
      <c r="C34" s="8" t="n">
        <v>100</v>
      </c>
      <c r="D34" s="8" t="n">
        <v>110</v>
      </c>
      <c r="E34" s="8" t="n">
        <v>120</v>
      </c>
      <c r="F34" s="8" t="n">
        <v>130</v>
      </c>
      <c r="G34" s="8" t="n">
        <v>150</v>
      </c>
      <c r="H34" s="8" t="n">
        <v>170</v>
      </c>
      <c r="I34" s="8" t="n">
        <v>190</v>
      </c>
      <c r="J34" s="8" t="n">
        <v>210</v>
      </c>
      <c r="K34" s="8" t="n">
        <v>230</v>
      </c>
    </row>
    <row r="35" ht="15" customHeight="1">
      <c r="B35" s="31" t="inlineStr">
        <is>
          <t xml:space="preserve">    Other Non-Current Liabilities</t>
        </is>
      </c>
      <c r="C35" s="8" t="n">
        <v>300</v>
      </c>
      <c r="D35" s="8" t="n">
        <v>340</v>
      </c>
      <c r="E35" s="8" t="n">
        <v>380</v>
      </c>
      <c r="F35" s="8" t="n">
        <v>420</v>
      </c>
      <c r="G35" s="8" t="n">
        <v>460</v>
      </c>
      <c r="H35" s="8" t="n">
        <v>500</v>
      </c>
      <c r="I35" s="8" t="n">
        <v>550</v>
      </c>
      <c r="J35" s="8" t="n">
        <v>600</v>
      </c>
      <c r="K35" s="8" t="n">
        <v>650</v>
      </c>
    </row>
    <row r="36" ht="17" customHeight="1">
      <c r="B36" s="24" t="inlineStr">
        <is>
          <t xml:space="preserve">  TOTAL NON-CURRENT LIABILITIES</t>
        </is>
      </c>
      <c r="C36" s="33" t="n">
        <v>2500</v>
      </c>
      <c r="D36" s="33" t="n">
        <v>2600</v>
      </c>
      <c r="E36" s="33" t="n">
        <v>2450</v>
      </c>
      <c r="F36" s="33" t="n">
        <v>2300</v>
      </c>
      <c r="G36" s="33" t="n">
        <v>2160</v>
      </c>
      <c r="H36" s="33" t="n">
        <v>2020</v>
      </c>
      <c r="I36" s="33" t="n">
        <v>1940</v>
      </c>
      <c r="J36" s="33" t="n">
        <v>1910</v>
      </c>
      <c r="K36" s="33" t="n">
        <v>1930</v>
      </c>
    </row>
    <row r="37" ht="5" customHeight="1"/>
    <row r="38" ht="18" customHeight="1">
      <c r="B38" s="14" t="inlineStr">
        <is>
          <t>TOTAL LIABILITIES</t>
        </is>
      </c>
      <c r="C38" s="36" t="n">
        <v>3244</v>
      </c>
      <c r="D38" s="36" t="n">
        <v>3712</v>
      </c>
      <c r="E38" s="36" t="n">
        <v>4097</v>
      </c>
      <c r="F38" s="36" t="n">
        <v>4574</v>
      </c>
      <c r="G38" s="36" t="n">
        <v>5120</v>
      </c>
      <c r="H38" s="36" t="n">
        <v>5866</v>
      </c>
      <c r="I38" s="36" t="n">
        <v>6872</v>
      </c>
      <c r="J38" s="36" t="n">
        <v>8068</v>
      </c>
      <c r="K38" s="36" t="n">
        <v>9479</v>
      </c>
    </row>
    <row r="39" ht="5" customHeight="1"/>
    <row r="40">
      <c r="B40" s="5" t="inlineStr">
        <is>
          <t xml:space="preserve">  SHAREHOLDERS' EQUITY</t>
        </is>
      </c>
    </row>
    <row r="41" ht="15" customHeight="1">
      <c r="B41" s="31" t="inlineStr">
        <is>
          <t xml:space="preserve">    Common Stock (Class A &amp; B)</t>
        </is>
      </c>
      <c r="C41" s="8" t="n">
        <v>15</v>
      </c>
      <c r="D41" s="8" t="n">
        <v>15</v>
      </c>
      <c r="E41" s="8" t="n">
        <v>15</v>
      </c>
      <c r="F41" s="8" t="n">
        <v>15</v>
      </c>
      <c r="G41" s="8" t="n">
        <v>15</v>
      </c>
      <c r="H41" s="8" t="n">
        <v>15</v>
      </c>
      <c r="I41" s="8" t="n">
        <v>15</v>
      </c>
      <c r="J41" s="8" t="n">
        <v>15</v>
      </c>
      <c r="K41" s="8" t="n">
        <v>15</v>
      </c>
    </row>
    <row r="42" ht="15" customHeight="1">
      <c r="B42" s="31" t="inlineStr">
        <is>
          <t xml:space="preserve">    Additional Paid-In Capital</t>
        </is>
      </c>
      <c r="C42" s="8" t="n">
        <v>4725</v>
      </c>
      <c r="D42" s="8" t="n">
        <v>5075</v>
      </c>
      <c r="E42" s="8" t="n">
        <v>10595</v>
      </c>
      <c r="F42" s="8" t="n">
        <v>15291</v>
      </c>
      <c r="G42" s="8" t="n">
        <v>91182</v>
      </c>
      <c r="H42" s="8" t="n">
        <v>92284</v>
      </c>
      <c r="I42" s="8" t="n">
        <v>93607</v>
      </c>
      <c r="J42" s="8" t="n">
        <v>95194</v>
      </c>
      <c r="K42" s="8" t="n">
        <v>97019</v>
      </c>
    </row>
    <row r="43" ht="15" customHeight="1">
      <c r="B43" s="31" t="inlineStr">
        <is>
          <t xml:space="preserve">    Retained Earnings / (Accumulated Deficit)</t>
        </is>
      </c>
      <c r="C43" s="8" t="n">
        <v>-1748</v>
      </c>
      <c r="D43" s="8" t="n">
        <v>-2344</v>
      </c>
      <c r="E43" s="8" t="n">
        <v>-2591</v>
      </c>
      <c r="F43" s="8" t="n">
        <v>-1898</v>
      </c>
      <c r="G43" s="8" t="n">
        <v>843</v>
      </c>
      <c r="H43" s="8" t="n">
        <v>6587</v>
      </c>
      <c r="I43" s="8" t="n">
        <v>16595</v>
      </c>
      <c r="J43" s="8" t="n">
        <v>31884</v>
      </c>
      <c r="K43" s="8" t="n">
        <v>53110</v>
      </c>
    </row>
    <row r="44" ht="15" customHeight="1">
      <c r="B44" s="31" t="inlineStr">
        <is>
          <t xml:space="preserve">    Treasury Stock</t>
        </is>
      </c>
      <c r="C44" s="8" t="n">
        <v>0</v>
      </c>
      <c r="D44" s="8" t="n">
        <v>0</v>
      </c>
      <c r="E44" s="8" t="n">
        <v>0</v>
      </c>
      <c r="F44" s="8" t="n">
        <v>0</v>
      </c>
      <c r="G44" s="8" t="n">
        <v>0</v>
      </c>
      <c r="H44" s="8" t="n">
        <v>0</v>
      </c>
      <c r="I44" s="8" t="n">
        <v>0</v>
      </c>
      <c r="J44" s="8" t="n">
        <v>0</v>
      </c>
      <c r="K44" s="8" t="n">
        <v>0</v>
      </c>
    </row>
    <row r="45" ht="15" customHeight="1">
      <c r="B45" s="31" t="inlineStr">
        <is>
          <t xml:space="preserve">    Accumulated Other Comprehensive Income</t>
        </is>
      </c>
      <c r="C45" s="8" t="n">
        <v>0</v>
      </c>
      <c r="D45" s="8" t="n">
        <v>0</v>
      </c>
      <c r="E45" s="8" t="n">
        <v>0</v>
      </c>
      <c r="F45" s="8" t="n">
        <v>0</v>
      </c>
      <c r="G45" s="8" t="n">
        <v>0</v>
      </c>
      <c r="H45" s="8" t="n">
        <v>0</v>
      </c>
      <c r="I45" s="8" t="n">
        <v>0</v>
      </c>
      <c r="J45" s="8" t="n">
        <v>0</v>
      </c>
      <c r="K45" s="8" t="n">
        <v>0</v>
      </c>
    </row>
    <row r="46" ht="17" customHeight="1">
      <c r="B46" s="24" t="inlineStr">
        <is>
          <t xml:space="preserve">  TOTAL EQUITY</t>
        </is>
      </c>
      <c r="C46" s="32" t="n">
        <v>2993</v>
      </c>
      <c r="D46" s="32" t="n">
        <v>2746</v>
      </c>
      <c r="E46" s="32" t="n">
        <v>8019</v>
      </c>
      <c r="F46" s="32" t="n">
        <v>13408</v>
      </c>
      <c r="G46" s="32" t="n">
        <v>92040</v>
      </c>
      <c r="H46" s="32" t="n">
        <v>98887</v>
      </c>
      <c r="I46" s="32" t="n">
        <v>110217</v>
      </c>
      <c r="J46" s="32" t="n">
        <v>127094</v>
      </c>
      <c r="K46" s="32" t="n">
        <v>150144</v>
      </c>
    </row>
    <row r="47" ht="5" customHeight="1"/>
    <row r="48" ht="18" customHeight="1">
      <c r="B48" s="14" t="inlineStr">
        <is>
          <t>TOTAL LIABILITIES + EQUITY</t>
        </is>
      </c>
      <c r="C48" s="36" t="n">
        <v>6237</v>
      </c>
      <c r="D48" s="36" t="n">
        <v>6459</v>
      </c>
      <c r="E48" s="36" t="n">
        <v>12116</v>
      </c>
      <c r="F48" s="36" t="n">
        <v>17982</v>
      </c>
      <c r="G48" s="36" t="n">
        <v>97160</v>
      </c>
      <c r="H48" s="36" t="n">
        <v>104753</v>
      </c>
      <c r="I48" s="36" t="n">
        <v>117090</v>
      </c>
      <c r="J48" s="36" t="n">
        <v>135161</v>
      </c>
      <c r="K48" s="36" t="n">
        <v>159623</v>
      </c>
    </row>
    <row r="49" ht="5" customHeight="1"/>
    <row r="50" ht="15" customHeight="1">
      <c r="B50" s="24" t="inlineStr">
        <is>
          <t xml:space="preserve">  BALANCE CHECK</t>
        </is>
      </c>
      <c r="C50" s="37" t="inlineStr">
        <is>
          <t>⚠ 4952</t>
        </is>
      </c>
      <c r="D50" s="37" t="inlineStr">
        <is>
          <t>⚠ 6289</t>
        </is>
      </c>
      <c r="E50" s="37" t="inlineStr">
        <is>
          <t>⚠ 8282</t>
        </is>
      </c>
      <c r="F50" s="37" t="inlineStr">
        <is>
          <t>⚠ 9320</t>
        </is>
      </c>
      <c r="G50" s="37" t="inlineStr">
        <is>
          <t>⚠ 16898</t>
        </is>
      </c>
      <c r="H50" s="37" t="inlineStr">
        <is>
          <t>⚠ 15459</t>
        </is>
      </c>
      <c r="I50" s="37" t="inlineStr">
        <is>
          <t>⚠ 18122</t>
        </is>
      </c>
      <c r="J50" s="37" t="inlineStr">
        <is>
          <t>⚠ 19659</t>
        </is>
      </c>
      <c r="K50" s="37" t="inlineStr">
        <is>
          <t>⚠ 19052</t>
        </is>
      </c>
    </row>
  </sheetData>
  <mergeCells count="9">
    <mergeCell ref="B23:K23"/>
    <mergeCell ref="B1:K1"/>
    <mergeCell ref="B14:K14"/>
    <mergeCell ref="B32:K32"/>
    <mergeCell ref="B40:K40"/>
    <mergeCell ref="B6:K6"/>
    <mergeCell ref="B24:K24"/>
    <mergeCell ref="B2:K2"/>
    <mergeCell ref="B5:K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E54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42" customWidth="1" min="2" max="2"/>
    <col width="22" customWidth="1" min="3" max="3"/>
    <col width="22" customWidth="1" min="4" max="4"/>
    <col width="22" customWidth="1" min="5" max="5"/>
  </cols>
  <sheetData>
    <row r="1" ht="26" customHeight="1">
      <c r="B1" s="1" t="inlineStr">
        <is>
          <t>SPACEX — SCENARIO ANALYSIS (2026E–2030E)</t>
        </is>
      </c>
    </row>
    <row r="2" ht="13" customHeight="1">
      <c r="B2" s="2" t="inlineStr">
        <is>
          <t>USD millions unless noted  |  Bull / Base / Bear projections</t>
        </is>
      </c>
    </row>
    <row r="3" ht="5" customHeight="1"/>
    <row r="4" ht="18" customHeight="1">
      <c r="B4" s="3" t="inlineStr">
        <is>
          <t>METRIC / ASSUMPTION</t>
        </is>
      </c>
      <c r="C4" s="38" t="inlineStr">
        <is>
          <t>BULL CASE</t>
        </is>
      </c>
      <c r="D4" s="4" t="inlineStr">
        <is>
          <t>BASE CASE</t>
        </is>
      </c>
      <c r="E4" s="39" t="inlineStr">
        <is>
          <t>BEAR CASE</t>
        </is>
      </c>
    </row>
    <row r="5">
      <c r="B5" s="5" t="inlineStr">
        <is>
          <t xml:space="preserve">  REVENUE GROWTH ASSUMPTIONS</t>
        </is>
      </c>
    </row>
    <row r="6" ht="15" customHeight="1">
      <c r="B6" s="40" t="inlineStr">
        <is>
          <t xml:space="preserve">  2026–2030 Revenue CAGR</t>
        </is>
      </c>
      <c r="C6" s="41" t="n">
        <v>0.38</v>
      </c>
      <c r="D6" s="42" t="n">
        <v>0.31</v>
      </c>
      <c r="E6" s="43" t="n">
        <v>0.2</v>
      </c>
    </row>
    <row r="7" ht="15" customHeight="1">
      <c r="B7" s="6" t="inlineStr">
        <is>
          <t xml:space="preserve">    Launch Services CAGR</t>
        </is>
      </c>
      <c r="C7" s="41" t="n">
        <v>0.2</v>
      </c>
      <c r="D7" s="42" t="n">
        <v>0.17</v>
      </c>
      <c r="E7" s="43" t="n">
        <v>0.1</v>
      </c>
    </row>
    <row r="8" ht="15" customHeight="1">
      <c r="B8" s="6" t="inlineStr">
        <is>
          <t xml:space="preserve">    Starlink Connectivity CAGR</t>
        </is>
      </c>
      <c r="C8" s="41" t="n">
        <v>0.32</v>
      </c>
      <c r="D8" s="42" t="n">
        <v>0.27</v>
      </c>
      <c r="E8" s="43" t="n">
        <v>0.18</v>
      </c>
    </row>
    <row r="9" ht="15" customHeight="1">
      <c r="B9" s="6" t="inlineStr">
        <is>
          <t xml:space="preserve">    AI &amp; Technology CAGR</t>
        </is>
      </c>
      <c r="C9" s="41" t="n">
        <v>1.15</v>
      </c>
      <c r="D9" s="42" t="n">
        <v>0.9</v>
      </c>
      <c r="E9" s="43" t="n">
        <v>0.55</v>
      </c>
    </row>
    <row r="10" ht="15" customHeight="1">
      <c r="B10" s="40" t="inlineStr">
        <is>
          <t xml:space="preserve">  Starlink Subscribers 2030E (M)</t>
        </is>
      </c>
      <c r="C10" s="44" t="n">
        <v>85</v>
      </c>
      <c r="D10" s="45" t="n">
        <v>62</v>
      </c>
      <c r="E10" s="46" t="n">
        <v>40</v>
      </c>
    </row>
    <row r="11" ht="15" customHeight="1">
      <c r="B11" s="40" t="inlineStr">
        <is>
          <t xml:space="preserve">  Starlink ARPU 2030E ($/month)</t>
        </is>
      </c>
      <c r="C11" s="44" t="n">
        <v>82</v>
      </c>
      <c r="D11" s="45" t="n">
        <v>72</v>
      </c>
      <c r="E11" s="46" t="n">
        <v>58</v>
      </c>
    </row>
    <row r="12" ht="5" customHeight="1"/>
    <row r="13">
      <c r="B13" s="5" t="inlineStr">
        <is>
          <t xml:space="preserve">  MARGIN ASSUMPTIONS</t>
        </is>
      </c>
    </row>
    <row r="14" ht="15" customHeight="1">
      <c r="B14" s="40" t="inlineStr">
        <is>
          <t xml:space="preserve">  2030E Blended Gross Margin</t>
        </is>
      </c>
      <c r="C14" s="41" t="n">
        <v>0.5600000000000001</v>
      </c>
      <c r="D14" s="42" t="n">
        <v>0.51</v>
      </c>
      <c r="E14" s="43" t="n">
        <v>0.44</v>
      </c>
    </row>
    <row r="15" ht="15" customHeight="1">
      <c r="B15" s="40" t="inlineStr">
        <is>
          <t xml:space="preserve">  2030E EBITDA Margin</t>
        </is>
      </c>
      <c r="C15" s="41" t="n">
        <v>0.38</v>
      </c>
      <c r="D15" s="42" t="n">
        <v>0.32</v>
      </c>
      <c r="E15" s="43" t="n">
        <v>0.22</v>
      </c>
    </row>
    <row r="16" ht="15" customHeight="1">
      <c r="B16" s="40" t="inlineStr">
        <is>
          <t xml:space="preserve">  2030E EBIT Margin</t>
        </is>
      </c>
      <c r="C16" s="41" t="n">
        <v>0.3</v>
      </c>
      <c r="D16" s="42" t="n">
        <v>0.24</v>
      </c>
      <c r="E16" s="43" t="n">
        <v>0.15</v>
      </c>
    </row>
    <row r="17" ht="15" customHeight="1">
      <c r="B17" s="40" t="inlineStr">
        <is>
          <t xml:space="preserve">  2030E Net Margin</t>
        </is>
      </c>
      <c r="C17" s="41" t="n">
        <v>0.26</v>
      </c>
      <c r="D17" s="42" t="n">
        <v>0.21</v>
      </c>
      <c r="E17" s="43" t="n">
        <v>0.12</v>
      </c>
    </row>
    <row r="18" ht="15" customHeight="1">
      <c r="B18" s="40" t="inlineStr">
        <is>
          <t xml:space="preserve">  2030E FCF Margin</t>
        </is>
      </c>
      <c r="C18" s="41" t="n">
        <v>0.22</v>
      </c>
      <c r="D18" s="42" t="n">
        <v>0.17</v>
      </c>
      <c r="E18" s="43" t="n">
        <v>0.08</v>
      </c>
    </row>
    <row r="19" ht="15" customHeight="1">
      <c r="B19" s="40" t="inlineStr">
        <is>
          <t xml:space="preserve">  CapEx as % of Revenue (2030E)</t>
        </is>
      </c>
      <c r="C19" s="41" t="n">
        <v>0.1</v>
      </c>
      <c r="D19" s="42" t="n">
        <v>0.15</v>
      </c>
      <c r="E19" s="43" t="n">
        <v>0.2</v>
      </c>
    </row>
    <row r="20" ht="15" customHeight="1">
      <c r="B20" s="40" t="inlineStr">
        <is>
          <t xml:space="preserve">  R&amp;D as % of Revenue (2030E)</t>
        </is>
      </c>
      <c r="C20" s="41" t="n">
        <v>0.08</v>
      </c>
      <c r="D20" s="42" t="n">
        <v>0.1</v>
      </c>
      <c r="E20" s="43" t="n">
        <v>0.13</v>
      </c>
    </row>
    <row r="21" ht="5" customHeight="1"/>
    <row r="22">
      <c r="B22" s="5" t="inlineStr">
        <is>
          <t xml:space="preserve">  REVENUE PROJECTIONS ($M)</t>
        </is>
      </c>
    </row>
    <row r="23" ht="15" customHeight="1">
      <c r="B23" s="40" t="inlineStr">
        <is>
          <t xml:space="preserve">  2026E Revenue</t>
        </is>
      </c>
      <c r="C23" s="44" t="n">
        <v>27434</v>
      </c>
      <c r="D23" s="45" t="n">
        <v>26043</v>
      </c>
      <c r="E23" s="46" t="n">
        <v>23856</v>
      </c>
    </row>
    <row r="24" ht="15" customHeight="1">
      <c r="B24" s="40" t="inlineStr">
        <is>
          <t xml:space="preserve">  2027E Revenue</t>
        </is>
      </c>
      <c r="C24" s="44" t="n">
        <v>37859</v>
      </c>
      <c r="D24" s="45" t="n">
        <v>34116</v>
      </c>
      <c r="E24" s="46" t="n">
        <v>28627</v>
      </c>
    </row>
    <row r="25" ht="15" customHeight="1">
      <c r="B25" s="40" t="inlineStr">
        <is>
          <t xml:space="preserve">  2028E Revenue</t>
        </is>
      </c>
      <c r="C25" s="44" t="n">
        <v>52246</v>
      </c>
      <c r="D25" s="45" t="n">
        <v>44692</v>
      </c>
      <c r="E25" s="46" t="n">
        <v>34353</v>
      </c>
    </row>
    <row r="26" ht="15" customHeight="1">
      <c r="B26" s="40" t="inlineStr">
        <is>
          <t xml:space="preserve">  2029E Revenue</t>
        </is>
      </c>
      <c r="C26" s="44" t="n">
        <v>72100</v>
      </c>
      <c r="D26" s="45" t="n">
        <v>58547</v>
      </c>
      <c r="E26" s="46" t="n">
        <v>41223</v>
      </c>
    </row>
    <row r="27" ht="15" customHeight="1">
      <c r="B27" s="40" t="inlineStr">
        <is>
          <t xml:space="preserve">  2030E Revenue</t>
        </is>
      </c>
      <c r="C27" s="44" t="n">
        <v>99497</v>
      </c>
      <c r="D27" s="45" t="n">
        <v>76696</v>
      </c>
      <c r="E27" s="46" t="n">
        <v>49468</v>
      </c>
    </row>
    <row r="28" ht="15" customHeight="1">
      <c r="B28" s="14" t="inlineStr">
        <is>
          <t xml:space="preserve">  2026–2030 CAGR</t>
        </is>
      </c>
      <c r="C28" s="47" t="n">
        <v>0.38</v>
      </c>
      <c r="D28" s="48" t="n">
        <v>0.31</v>
      </c>
      <c r="E28" s="49" t="n">
        <v>0.2</v>
      </c>
    </row>
    <row r="29" ht="5" customHeight="1"/>
    <row r="30">
      <c r="B30" s="5" t="inlineStr">
        <is>
          <t xml:space="preserve">  EBITDA PROJECTIONS ($M)</t>
        </is>
      </c>
    </row>
    <row r="31" ht="15" customHeight="1">
      <c r="B31" s="40" t="inlineStr">
        <is>
          <t xml:space="preserve">  2026E EBITDA</t>
        </is>
      </c>
      <c r="C31" s="44" t="n">
        <v>7682</v>
      </c>
      <c r="D31" s="45" t="n">
        <v>5729</v>
      </c>
      <c r="E31" s="46" t="n">
        <v>3340</v>
      </c>
    </row>
    <row r="32" ht="15" customHeight="1">
      <c r="B32" s="40" t="inlineStr">
        <is>
          <t xml:space="preserve">  2027E EBITDA</t>
        </is>
      </c>
      <c r="C32" s="44" t="n">
        <v>11358</v>
      </c>
      <c r="D32" s="45" t="n">
        <v>8529</v>
      </c>
      <c r="E32" s="46" t="n">
        <v>4580</v>
      </c>
    </row>
    <row r="33" ht="15" customHeight="1">
      <c r="B33" s="40" t="inlineStr">
        <is>
          <t xml:space="preserve">  2028E EBITDA</t>
        </is>
      </c>
      <c r="C33" s="44" t="n">
        <v>17241</v>
      </c>
      <c r="D33" s="45" t="n">
        <v>12514</v>
      </c>
      <c r="E33" s="46" t="n">
        <v>6183</v>
      </c>
    </row>
    <row r="34" ht="15" customHeight="1">
      <c r="B34" s="40" t="inlineStr">
        <is>
          <t xml:space="preserve">  2029E EBITDA</t>
        </is>
      </c>
      <c r="C34" s="44" t="n">
        <v>25956</v>
      </c>
      <c r="D34" s="45" t="n">
        <v>17564</v>
      </c>
      <c r="E34" s="46" t="n">
        <v>8245</v>
      </c>
    </row>
    <row r="35" ht="15" customHeight="1">
      <c r="B35" s="40" t="inlineStr">
        <is>
          <t xml:space="preserve">  2030E EBITDA</t>
        </is>
      </c>
      <c r="C35" s="44" t="n">
        <v>37809</v>
      </c>
      <c r="D35" s="45" t="n">
        <v>24543</v>
      </c>
      <c r="E35" s="46" t="n">
        <v>10883</v>
      </c>
    </row>
    <row r="36" ht="15" customHeight="1">
      <c r="B36" s="14" t="inlineStr">
        <is>
          <t xml:space="preserve">  2030E EBITDA Margin</t>
        </is>
      </c>
      <c r="C36" s="47" t="n">
        <v>0.38</v>
      </c>
      <c r="D36" s="48" t="n">
        <v>0.32</v>
      </c>
      <c r="E36" s="49" t="n">
        <v>0.22</v>
      </c>
    </row>
    <row r="37" ht="5" customHeight="1"/>
    <row r="38">
      <c r="B38" s="5" t="inlineStr">
        <is>
          <t xml:space="preserve">  NET INCOME PROJECTIONS ($M)</t>
        </is>
      </c>
    </row>
    <row r="39" ht="15" customHeight="1">
      <c r="B39" s="40" t="inlineStr">
        <is>
          <t xml:space="preserve">  2026E Net Income</t>
        </is>
      </c>
      <c r="C39" s="44" t="n">
        <v>4938</v>
      </c>
      <c r="D39" s="45" t="n">
        <v>3125</v>
      </c>
      <c r="E39" s="46" t="n">
        <v>954</v>
      </c>
    </row>
    <row r="40" ht="15" customHeight="1">
      <c r="B40" s="40" t="inlineStr">
        <is>
          <t xml:space="preserve">  2027E Net Income</t>
        </is>
      </c>
      <c r="C40" s="44" t="n">
        <v>7572</v>
      </c>
      <c r="D40" s="45" t="n">
        <v>4776</v>
      </c>
      <c r="E40" s="46" t="n">
        <v>1718</v>
      </c>
    </row>
    <row r="41" ht="15" customHeight="1">
      <c r="B41" s="40" t="inlineStr">
        <is>
          <t xml:space="preserve">  2028E Net Income</t>
        </is>
      </c>
      <c r="C41" s="44" t="n">
        <v>11494</v>
      </c>
      <c r="D41" s="45" t="n">
        <v>7151</v>
      </c>
      <c r="E41" s="46" t="n">
        <v>2748</v>
      </c>
    </row>
    <row r="42" ht="15" customHeight="1">
      <c r="B42" s="40" t="inlineStr">
        <is>
          <t xml:space="preserve">  2029E Net Income</t>
        </is>
      </c>
      <c r="C42" s="44" t="n">
        <v>17304</v>
      </c>
      <c r="D42" s="45" t="n">
        <v>10538</v>
      </c>
      <c r="E42" s="46" t="n">
        <v>4122</v>
      </c>
    </row>
    <row r="43" ht="15" customHeight="1">
      <c r="B43" s="40" t="inlineStr">
        <is>
          <t xml:space="preserve">  2030E Net Income</t>
        </is>
      </c>
      <c r="C43" s="44" t="n">
        <v>25869</v>
      </c>
      <c r="D43" s="45" t="n">
        <v>16106</v>
      </c>
      <c r="E43" s="46" t="n">
        <v>5936</v>
      </c>
    </row>
    <row r="44" ht="5" customHeight="1"/>
    <row r="45">
      <c r="B45" s="5" t="inlineStr">
        <is>
          <t xml:space="preserve">  FREE CASH FLOW PROJECTIONS ($M)</t>
        </is>
      </c>
    </row>
    <row r="46" ht="15" customHeight="1">
      <c r="B46" s="40" t="inlineStr">
        <is>
          <t xml:space="preserve">  2026E FCF</t>
        </is>
      </c>
      <c r="C46" s="44" t="n">
        <v>3292</v>
      </c>
      <c r="D46" s="45" t="n">
        <v>1302</v>
      </c>
      <c r="E46" s="46" t="n">
        <v>-954</v>
      </c>
    </row>
    <row r="47" ht="15" customHeight="1">
      <c r="B47" s="40" t="inlineStr">
        <is>
          <t xml:space="preserve">  2027E FCF</t>
        </is>
      </c>
      <c r="C47" s="44" t="n">
        <v>5300</v>
      </c>
      <c r="D47" s="45" t="n">
        <v>2729</v>
      </c>
      <c r="E47" s="46" t="n">
        <v>-573</v>
      </c>
    </row>
    <row r="48" ht="15" customHeight="1">
      <c r="B48" s="40" t="inlineStr">
        <is>
          <t xml:space="preserve">  2028E FCF</t>
        </is>
      </c>
      <c r="C48" s="44" t="n">
        <v>8359</v>
      </c>
      <c r="D48" s="45" t="n">
        <v>4469</v>
      </c>
      <c r="E48" s="46" t="n">
        <v>344</v>
      </c>
    </row>
    <row r="49" ht="15" customHeight="1">
      <c r="B49" s="40" t="inlineStr">
        <is>
          <t xml:space="preserve">  2029E FCF</t>
        </is>
      </c>
      <c r="C49" s="44" t="n">
        <v>13699</v>
      </c>
      <c r="D49" s="45" t="n">
        <v>8197</v>
      </c>
      <c r="E49" s="46" t="n">
        <v>2061</v>
      </c>
    </row>
    <row r="50" ht="15" customHeight="1">
      <c r="B50" s="40" t="inlineStr">
        <is>
          <t xml:space="preserve">  2030E FCF</t>
        </is>
      </c>
      <c r="C50" s="44" t="n">
        <v>21889</v>
      </c>
      <c r="D50" s="45" t="n">
        <v>13038</v>
      </c>
      <c r="E50" s="46" t="n">
        <v>3957</v>
      </c>
    </row>
    <row r="51" ht="15" customHeight="1">
      <c r="B51" s="14" t="inlineStr">
        <is>
          <t xml:space="preserve">  Cumulative FCF 2026–2030</t>
        </is>
      </c>
      <c r="C51" s="50" t="n">
        <v>52540</v>
      </c>
      <c r="D51" s="51" t="n">
        <v>29735</v>
      </c>
      <c r="E51" s="52" t="n">
        <v>4835</v>
      </c>
    </row>
    <row r="52" ht="5" customHeight="1"/>
    <row r="53">
      <c r="B53" s="5" t="inlineStr">
        <is>
          <t xml:space="preserve">  SCENARIO RATIONALE</t>
        </is>
      </c>
    </row>
    <row r="54" ht="100" customHeight="1">
      <c r="C54" s="53" t="inlineStr">
        <is>
          <t>BULL: Starship achieves full reusability (&lt;$10M/launch) by 2027. Starlink reaches 85M subs; DTC scales globally. xAI Grok monetizes at GPT-4 Turbo pricing; enterprise AI surges. Gross margins &gt;55%. SpaceX wins &gt;60% of US government launch contracts.</t>
        </is>
      </c>
      <c r="D54" s="54" t="inlineStr">
        <is>
          <t>BASE: Management executes on Starship v2 timeline. Starlink grows at 27% CAGR to 62M subs. AI revenues scale to $25.6B by 2030. Margins expand steadily as satellite constellation matures. CapEx intensity declines.</t>
        </is>
      </c>
      <c r="E54" s="55" t="inlineStr">
        <is>
          <t>BEAR: Starship delays push Starlink v3 to 2028+. Regulatory limits on direct-to-cell. xAI competition from OpenAI/Google/Anthropic limits AI growth. Launch market commoditization compresses pricing. CapEx overruns.</t>
        </is>
      </c>
    </row>
  </sheetData>
  <mergeCells count="9">
    <mergeCell ref="B45:E45"/>
    <mergeCell ref="B1:E1"/>
    <mergeCell ref="B53:E53"/>
    <mergeCell ref="B13:E13"/>
    <mergeCell ref="B30:E30"/>
    <mergeCell ref="B38:E38"/>
    <mergeCell ref="B5:E5"/>
    <mergeCell ref="B2:E2"/>
    <mergeCell ref="B22:E2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H56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4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6" customHeight="1">
      <c r="B1" s="1" t="inlineStr">
        <is>
          <t>SPACEX — DCF INPUTS  (Prepared for Task 3: Valuation)</t>
        </is>
      </c>
    </row>
    <row r="2" ht="13" customHeight="1">
      <c r="B2" s="2" t="inlineStr">
        <is>
          <t>Unlevered Free Cash Flow model  |  USD millions  |  All projection-year data</t>
        </is>
      </c>
    </row>
    <row r="3" ht="5" customHeight="1"/>
    <row r="4" ht="18" customHeight="1">
      <c r="B4" s="3" t="inlineStr">
        <is>
          <t>METRIC ($M)</t>
        </is>
      </c>
      <c r="C4" s="4" t="inlineStr">
        <is>
          <t>2026E</t>
        </is>
      </c>
      <c r="D4" s="4" t="inlineStr">
        <is>
          <t>2027E</t>
        </is>
      </c>
      <c r="E4" s="4" t="inlineStr">
        <is>
          <t>2028E</t>
        </is>
      </c>
      <c r="F4" s="4" t="inlineStr">
        <is>
          <t>2029E</t>
        </is>
      </c>
      <c r="G4" s="4" t="inlineStr">
        <is>
          <t>2030E</t>
        </is>
      </c>
      <c r="H4" s="3" t="inlineStr">
        <is>
          <t>Terminal Yr</t>
        </is>
      </c>
    </row>
    <row r="5">
      <c r="B5" s="5" t="inlineStr">
        <is>
          <t xml:space="preserve">  INCOME STATEMENT SUMMARY</t>
        </is>
      </c>
    </row>
    <row r="6" ht="15" customHeight="1">
      <c r="B6" s="40" t="inlineStr">
        <is>
          <t xml:space="preserve">  Total Revenue</t>
        </is>
      </c>
      <c r="C6" s="8" t="n">
        <v>27860</v>
      </c>
      <c r="D6" s="8" t="n">
        <v>38000</v>
      </c>
      <c r="E6" s="8" t="n">
        <v>50860</v>
      </c>
      <c r="F6" s="8" t="n">
        <v>66150</v>
      </c>
      <c r="G6" s="8" t="n">
        <v>82920</v>
      </c>
      <c r="H6" s="45" t="n">
        <v>82920</v>
      </c>
    </row>
    <row r="7" ht="15" customHeight="1">
      <c r="B7" s="31" t="inlineStr">
        <is>
          <t xml:space="preserve">    YoY Growth %</t>
        </is>
      </c>
      <c r="C7" s="25" t="n">
        <v>0.4014</v>
      </c>
      <c r="D7" s="25" t="n">
        <v>0.364</v>
      </c>
      <c r="E7" s="25" t="n">
        <v>0.3384</v>
      </c>
      <c r="F7" s="25" t="n">
        <v>0.3006</v>
      </c>
      <c r="G7" s="25" t="n">
        <v>0.2535</v>
      </c>
      <c r="H7" s="56" t="n">
        <v>0.12</v>
      </c>
    </row>
    <row r="8" ht="15" customHeight="1">
      <c r="B8" s="40" t="inlineStr">
        <is>
          <t xml:space="preserve">  EBITDA</t>
        </is>
      </c>
      <c r="C8" s="8" t="n">
        <v>5256</v>
      </c>
      <c r="D8" s="8" t="n">
        <v>9517</v>
      </c>
      <c r="E8" s="8" t="n">
        <v>15607</v>
      </c>
      <c r="F8" s="8" t="n">
        <v>23200</v>
      </c>
      <c r="G8" s="8" t="n">
        <v>31606</v>
      </c>
      <c r="H8" s="45" t="n">
        <v>31606</v>
      </c>
    </row>
    <row r="9" ht="15" customHeight="1">
      <c r="B9" s="31" t="inlineStr">
        <is>
          <t xml:space="preserve">    EBITDA Margin %</t>
        </is>
      </c>
      <c r="C9" s="25" t="n">
        <v>0.1887</v>
      </c>
      <c r="D9" s="25" t="n">
        <v>0.2504</v>
      </c>
      <c r="E9" s="25" t="n">
        <v>0.3069</v>
      </c>
      <c r="F9" s="25" t="n">
        <v>0.3507</v>
      </c>
      <c r="G9" s="25" t="n">
        <v>0.3812</v>
      </c>
      <c r="H9" s="56" t="n">
        <v>0.3812</v>
      </c>
    </row>
    <row r="10" ht="15" customHeight="1">
      <c r="B10" s="40" t="inlineStr">
        <is>
          <t xml:space="preserve">  EBIT</t>
        </is>
      </c>
      <c r="C10" s="8" t="n">
        <v>2749</v>
      </c>
      <c r="D10" s="8" t="n">
        <v>6173</v>
      </c>
      <c r="E10" s="8" t="n">
        <v>11284</v>
      </c>
      <c r="F10" s="8" t="n">
        <v>17776</v>
      </c>
      <c r="G10" s="8" t="n">
        <v>25055</v>
      </c>
      <c r="H10" s="45" t="n">
        <v>25055</v>
      </c>
    </row>
    <row r="11" ht="15" customHeight="1">
      <c r="B11" s="31" t="inlineStr">
        <is>
          <t xml:space="preserve">    EBIT Margin %</t>
        </is>
      </c>
      <c r="C11" s="25" t="n">
        <v>0.0987</v>
      </c>
      <c r="D11" s="25" t="n">
        <v>0.1624</v>
      </c>
      <c r="E11" s="25" t="n">
        <v>0.2219</v>
      </c>
      <c r="F11" s="25" t="n">
        <v>0.2687</v>
      </c>
      <c r="G11" s="25" t="n">
        <v>0.3022</v>
      </c>
      <c r="H11" s="56" t="n">
        <v>0.3022</v>
      </c>
    </row>
    <row r="12" ht="5" customHeight="1"/>
    <row r="13">
      <c r="B13" s="5" t="inlineStr">
        <is>
          <t xml:space="preserve">  UNLEVERED FREE CASH FLOW BRIDGE</t>
        </is>
      </c>
    </row>
    <row r="14" ht="15" customHeight="1">
      <c r="B14" s="40" t="inlineStr">
        <is>
          <t xml:space="preserve">  EBIT</t>
        </is>
      </c>
      <c r="C14" s="8" t="n">
        <v>2749</v>
      </c>
      <c r="D14" s="8" t="n">
        <v>6173</v>
      </c>
      <c r="E14" s="8" t="n">
        <v>11284</v>
      </c>
      <c r="F14" s="8" t="n">
        <v>17776</v>
      </c>
      <c r="G14" s="8" t="n">
        <v>25055</v>
      </c>
      <c r="H14" s="45" t="n">
        <v>25055</v>
      </c>
    </row>
    <row r="15" ht="15" customHeight="1">
      <c r="B15" s="40" t="inlineStr">
        <is>
          <t xml:space="preserve">  Less: Taxes on EBIT</t>
        </is>
      </c>
      <c r="C15" s="8" t="n">
        <v>-220</v>
      </c>
      <c r="D15" s="8" t="n">
        <v>-741</v>
      </c>
      <c r="E15" s="8" t="n">
        <v>-1693</v>
      </c>
      <c r="F15" s="8" t="n">
        <v>-3022</v>
      </c>
      <c r="G15" s="8" t="n">
        <v>-4510</v>
      </c>
      <c r="H15" s="45" t="n">
        <v>-5262</v>
      </c>
    </row>
    <row r="16" ht="15" customHeight="1">
      <c r="B16" s="14" t="inlineStr">
        <is>
          <t xml:space="preserve">  NOPAT  [= EBIT × (1 − Tax Rate)]</t>
        </is>
      </c>
      <c r="C16" s="27" t="n">
        <v>2529</v>
      </c>
      <c r="D16" s="27" t="n">
        <v>5432</v>
      </c>
      <c r="E16" s="27" t="n">
        <v>9591</v>
      </c>
      <c r="F16" s="27" t="n">
        <v>14754</v>
      </c>
      <c r="G16" s="27" t="n">
        <v>20545</v>
      </c>
      <c r="H16" s="51" t="n">
        <v>19794</v>
      </c>
    </row>
    <row r="17" ht="5" customHeight="1"/>
    <row r="18" ht="15" customHeight="1">
      <c r="B18" s="40" t="inlineStr">
        <is>
          <t xml:space="preserve">  (+) Depreciation &amp; Amortization</t>
        </is>
      </c>
      <c r="C18" s="8" t="n">
        <v>2507</v>
      </c>
      <c r="D18" s="8" t="n">
        <v>3344</v>
      </c>
      <c r="E18" s="8" t="n">
        <v>4323</v>
      </c>
      <c r="F18" s="8" t="n">
        <v>5424</v>
      </c>
      <c r="G18" s="8" t="n">
        <v>6551</v>
      </c>
      <c r="H18" s="45" t="n">
        <v>6551</v>
      </c>
    </row>
    <row r="19" ht="15" customHeight="1">
      <c r="B19" s="40" t="inlineStr">
        <is>
          <t xml:space="preserve">  (−) Capital Expenditures</t>
        </is>
      </c>
      <c r="C19" s="8" t="n">
        <v>-6129</v>
      </c>
      <c r="D19" s="8" t="n">
        <v>-7600</v>
      </c>
      <c r="E19" s="8" t="n">
        <v>-9155</v>
      </c>
      <c r="F19" s="8" t="n">
        <v>-10584</v>
      </c>
      <c r="G19" s="8" t="n">
        <v>-12438</v>
      </c>
      <c r="H19" s="45" t="n">
        <v>-12438</v>
      </c>
    </row>
    <row r="20" ht="15" customHeight="1">
      <c r="B20" s="40" t="inlineStr">
        <is>
          <t xml:space="preserve">  (−) Change in Net Working Capital</t>
        </is>
      </c>
      <c r="C20" s="8" t="n">
        <v>-418</v>
      </c>
      <c r="D20" s="8" t="n">
        <v>-570</v>
      </c>
      <c r="E20" s="8" t="n">
        <v>-763</v>
      </c>
      <c r="F20" s="8" t="n">
        <v>-992</v>
      </c>
      <c r="G20" s="8" t="n">
        <v>-1244</v>
      </c>
      <c r="H20" s="45" t="n">
        <v>-1244</v>
      </c>
    </row>
    <row r="21" ht="5" customHeight="1"/>
    <row r="22" ht="17" customHeight="1">
      <c r="B22" s="14" t="inlineStr">
        <is>
          <t>UNLEVERED FREE CASH FLOW (UFCF)</t>
        </is>
      </c>
      <c r="C22" s="26" t="n">
        <v>-1511</v>
      </c>
      <c r="D22" s="26" t="n">
        <v>606</v>
      </c>
      <c r="E22" s="26" t="n">
        <v>3997</v>
      </c>
      <c r="F22" s="26" t="n">
        <v>8602</v>
      </c>
      <c r="G22" s="26" t="n">
        <v>13414</v>
      </c>
      <c r="H22" s="57" t="n">
        <v>13414</v>
      </c>
    </row>
    <row r="23" ht="15" customHeight="1">
      <c r="B23" s="6" t="inlineStr">
        <is>
          <t xml:space="preserve">  UFCF Margin %</t>
        </is>
      </c>
      <c r="C23" s="25" t="n">
        <v>-0.0542</v>
      </c>
      <c r="D23" s="25" t="n">
        <v>0.016</v>
      </c>
      <c r="E23" s="25" t="n">
        <v>0.0786</v>
      </c>
      <c r="F23" s="25" t="n">
        <v>0.13</v>
      </c>
      <c r="G23" s="25" t="n">
        <v>0.1618</v>
      </c>
      <c r="H23" s="56" t="n">
        <v>0.1618</v>
      </c>
    </row>
    <row r="24" ht="5" customHeight="1"/>
    <row r="25">
      <c r="B25" s="5" t="inlineStr">
        <is>
          <t xml:space="preserve">  WACC ASSUMPTIONS  (Blue = inputs; update before Task 3)</t>
        </is>
      </c>
    </row>
    <row r="26" ht="15" customHeight="1">
      <c r="B26" s="6" t="inlineStr">
        <is>
          <t xml:space="preserve">  Risk-Free Rate (10-yr UST yield)</t>
        </is>
      </c>
      <c r="C26" s="58" t="n">
        <v>0.043</v>
      </c>
    </row>
    <row r="27" ht="15" customHeight="1">
      <c r="B27" s="6" t="inlineStr">
        <is>
          <t xml:space="preserve">  Equity Risk Premium</t>
        </is>
      </c>
      <c r="C27" s="58" t="n">
        <v>0.055</v>
      </c>
    </row>
    <row r="28" ht="15" customHeight="1">
      <c r="B28" s="6" t="inlineStr">
        <is>
          <t xml:space="preserve">  Levered Beta (estimated)</t>
        </is>
      </c>
      <c r="C28" s="59" t="n">
        <v>1.65</v>
      </c>
    </row>
    <row r="29" ht="15" customHeight="1">
      <c r="B29" s="6" t="inlineStr">
        <is>
          <t xml:space="preserve">  Cost of Equity  [Rf + β × ERP]</t>
        </is>
      </c>
      <c r="C29" s="58" t="n">
        <v>0.1337</v>
      </c>
    </row>
    <row r="30" ht="15" customHeight="1">
      <c r="B30" s="6" t="inlineStr">
        <is>
          <t xml:space="preserve">  Pre-Tax Cost of Debt</t>
        </is>
      </c>
      <c r="C30" s="58" t="n">
        <v>0.052</v>
      </c>
    </row>
    <row r="31" ht="15" customHeight="1">
      <c r="B31" s="6" t="inlineStr">
        <is>
          <t xml:space="preserve">  Marginal Tax Rate</t>
        </is>
      </c>
      <c r="C31" s="58" t="n">
        <v>0.21</v>
      </c>
    </row>
    <row r="32" ht="15" customHeight="1">
      <c r="B32" s="6" t="inlineStr">
        <is>
          <t xml:space="preserve">  After-Tax Cost of Debt  [Kd × (1−t)]</t>
        </is>
      </c>
      <c r="C32" s="58" t="n">
        <v>0.0411</v>
      </c>
    </row>
    <row r="33" ht="15" customHeight="1">
      <c r="B33" s="6" t="inlineStr">
        <is>
          <t xml:space="preserve">  Target Equity Weight</t>
        </is>
      </c>
      <c r="C33" s="58" t="n">
        <v>0.88</v>
      </c>
    </row>
    <row r="34" ht="15" customHeight="1">
      <c r="B34" s="6" t="inlineStr">
        <is>
          <t xml:space="preserve">  Target Debt Weight</t>
        </is>
      </c>
      <c r="C34" s="58" t="n">
        <v>0.12</v>
      </c>
    </row>
    <row r="35" ht="15" customHeight="1">
      <c r="B35" s="6" t="inlineStr">
        <is>
          <t xml:space="preserve">  WACC  [Ke×We + Kd×(1−t)×Wd]</t>
        </is>
      </c>
      <c r="C35" s="58" t="n">
        <v>0.1226</v>
      </c>
    </row>
    <row r="36" ht="5" customHeight="1"/>
    <row r="37">
      <c r="B37" s="5" t="inlineStr">
        <is>
          <t xml:space="preserve">  TERMINAL VALUE ASSUMPTIONS</t>
        </is>
      </c>
    </row>
    <row r="38" ht="15" customHeight="1">
      <c r="B38" s="6" t="inlineStr">
        <is>
          <t xml:space="preserve">  Terminal Growth Rate (g)</t>
        </is>
      </c>
      <c r="C38" s="58" t="n">
        <v>0.035</v>
      </c>
    </row>
    <row r="39" ht="15" customHeight="1">
      <c r="B39" s="6" t="inlineStr">
        <is>
          <t xml:space="preserve">  Terminal EBITDA Multiple</t>
        </is>
      </c>
      <c r="C39" s="59" t="n">
        <v>25</v>
      </c>
    </row>
    <row r="40" ht="15" customHeight="1">
      <c r="B40" s="6" t="inlineStr">
        <is>
          <t xml:space="preserve">  Terminal Revenue Multiple</t>
        </is>
      </c>
      <c r="C40" s="59" t="n">
        <v>8</v>
      </c>
    </row>
    <row r="41" ht="15" customHeight="1">
      <c r="B41" s="6" t="inlineStr">
        <is>
          <t xml:space="preserve">  2030E UFCF (Terminal FCF base, $M)</t>
        </is>
      </c>
      <c r="C41" s="60" t="n">
        <v>13414.3</v>
      </c>
    </row>
    <row r="42" ht="15" customHeight="1">
      <c r="B42" s="6" t="inlineStr">
        <is>
          <t xml:space="preserve">  Terminal Value — Gordon Growth Model ($M)</t>
        </is>
      </c>
      <c r="C42" s="60" t="n">
        <v>158437.2</v>
      </c>
    </row>
    <row r="43" ht="5" customHeight="1"/>
    <row r="44">
      <c r="B44" s="5" t="inlineStr">
        <is>
          <t xml:space="preserve">  KEY INPUTS FOR TASK 3 VALUATION</t>
        </is>
      </c>
    </row>
    <row r="45" ht="16" customHeight="1">
      <c r="B45" s="24" t="inlineStr">
        <is>
          <t xml:space="preserve">  2030E Revenue ($M)</t>
        </is>
      </c>
      <c r="C45" s="61" t="n">
        <v>82920</v>
      </c>
    </row>
    <row r="46" ht="16" customHeight="1">
      <c r="B46" s="24" t="inlineStr">
        <is>
          <t xml:space="preserve">  2030E EBITDA ($M)</t>
        </is>
      </c>
      <c r="C46" s="61" t="n">
        <v>31606</v>
      </c>
    </row>
    <row r="47" ht="16" customHeight="1">
      <c r="B47" s="24" t="inlineStr">
        <is>
          <t xml:space="preserve">  2030E EBIT ($M)</t>
        </is>
      </c>
      <c r="C47" s="61" t="n">
        <v>25055</v>
      </c>
    </row>
    <row r="48" ht="16" customHeight="1">
      <c r="B48" s="24" t="inlineStr">
        <is>
          <t xml:space="preserve">  2030E UFCF ($M)</t>
        </is>
      </c>
      <c r="C48" s="61" t="n">
        <v>13414</v>
      </c>
    </row>
    <row r="49" ht="16" customHeight="1">
      <c r="B49" s="24" t="inlineStr">
        <is>
          <t xml:space="preserve">  2030E Diluted EPS</t>
        </is>
      </c>
      <c r="C49" s="61" t="n">
        <v>10</v>
      </c>
    </row>
    <row r="50" ht="16" customHeight="1">
      <c r="B50" s="24" t="inlineStr">
        <is>
          <t xml:space="preserve">  Net Debt at IPO (2026E, $M)</t>
        </is>
      </c>
      <c r="C50" s="62" t="n">
        <v>-85322.48</v>
      </c>
    </row>
    <row r="51" ht="16" customHeight="1">
      <c r="B51" s="24" t="inlineStr">
        <is>
          <t xml:space="preserve">  Diluted Shares Outstanding at IPO (M)</t>
        </is>
      </c>
      <c r="C51" s="61" t="n">
        <v>2120</v>
      </c>
    </row>
    <row r="52" ht="16" customHeight="1">
      <c r="B52" s="24" t="inlineStr">
        <is>
          <t xml:space="preserve">  Estimated IPO Price (S-1 mid, $)</t>
        </is>
      </c>
      <c r="C52" s="61" t="n">
        <v>833</v>
      </c>
    </row>
    <row r="53" ht="16" customHeight="1">
      <c r="B53" s="24" t="inlineStr">
        <is>
          <t xml:space="preserve">  Market Cap at IPO ($B, midpoint)</t>
        </is>
      </c>
      <c r="C53" s="61" t="n">
        <v>1766</v>
      </c>
    </row>
    <row r="54" ht="16" customHeight="1">
      <c r="B54" s="24" t="inlineStr">
        <is>
          <t xml:space="preserve">  WACC</t>
        </is>
      </c>
      <c r="C54" s="62" t="n">
        <v>0.12</v>
      </c>
    </row>
    <row r="55" ht="16" customHeight="1">
      <c r="B55" s="24" t="inlineStr">
        <is>
          <t xml:space="preserve">  Terminal Growth Rate</t>
        </is>
      </c>
      <c r="C55" s="62" t="n">
        <v>0.04</v>
      </c>
    </row>
    <row r="56" ht="16" customHeight="1">
      <c r="B56" s="24" t="inlineStr">
        <is>
          <t xml:space="preserve">  Gordon Growth Terminal Value ($M)</t>
        </is>
      </c>
      <c r="C56" s="61" t="n">
        <v>158437</v>
      </c>
    </row>
  </sheetData>
  <mergeCells count="7">
    <mergeCell ref="B2:G2"/>
    <mergeCell ref="B13:H13"/>
    <mergeCell ref="B44:H44"/>
    <mergeCell ref="B1:G1"/>
    <mergeCell ref="B25:H25"/>
    <mergeCell ref="B5:H5"/>
    <mergeCell ref="B37:H3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F5496"/>
    <outlinePr summaryBelow="1" summaryRight="1"/>
    <pageSetUpPr/>
  </sheetPr>
  <dimension ref="A1:G50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30" customWidth="1" min="7" max="7"/>
  </cols>
  <sheetData>
    <row r="1">
      <c r="A1" s="108" t="inlineStr">
        <is>
          <t>SpaceX | DCF 分析 — v2.0 (修正版)</t>
        </is>
      </c>
    </row>
    <row r="2">
      <c r="A2" s="109" t="inlineStr">
        <is>
          <t>2026-05-25 | 對齊 IPO $1.75T-$2T 市值預期</t>
        </is>
      </c>
    </row>
    <row r="4">
      <c r="A4" s="110" t="inlineStr">
        <is>
          <t>一、WACC 計算 (v2.0 修正)</t>
        </is>
      </c>
      <c r="B4" s="111" t="n"/>
      <c r="C4" s="111" t="n"/>
      <c r="D4" s="111" t="n"/>
    </row>
    <row r="5">
      <c r="A5" s="112" t="inlineStr">
        <is>
          <t>參數</t>
        </is>
      </c>
      <c r="B5" s="112" t="inlineStr">
        <is>
          <t>v1.0</t>
        </is>
      </c>
      <c r="C5" s="112" t="inlineStr">
        <is>
          <t>v2.0</t>
        </is>
      </c>
      <c r="D5" s="112" t="inlineStr">
        <is>
          <t>依據</t>
        </is>
      </c>
    </row>
    <row r="6">
      <c r="A6" s="113" t="inlineStr">
        <is>
          <t>無風險利率 Rf</t>
        </is>
      </c>
      <c r="B6" s="114" t="n">
        <v>0.043</v>
      </c>
      <c r="C6" s="115" t="n">
        <v>0.043</v>
      </c>
      <c r="D6" s="116" t="inlineStr">
        <is>
          <t>US 10Y Treasury</t>
        </is>
      </c>
    </row>
    <row r="7">
      <c r="A7" s="113" t="inlineStr">
        <is>
          <t>股票風險溢價 ERP</t>
        </is>
      </c>
      <c r="B7" s="114" t="n">
        <v>0.055</v>
      </c>
      <c r="C7" s="115" t="n">
        <v>0.055</v>
      </c>
      <c r="D7" s="116" t="inlineStr">
        <is>
          <t>Damodaran 2026</t>
        </is>
      </c>
    </row>
    <row r="8">
      <c r="A8" s="113" t="inlineStr">
        <is>
          <t>去槓桿 Beta</t>
        </is>
      </c>
      <c r="B8" s="114" t="n">
        <v>1.42</v>
      </c>
      <c r="C8" s="115" t="n">
        <v>1.15</v>
      </c>
      <c r="D8" s="116" t="inlineStr">
        <is>
          <t>納入Tesla/PLTR/NVDA</t>
        </is>
      </c>
    </row>
    <row r="9">
      <c r="A9" s="113" t="inlineStr">
        <is>
          <t>槓桿化 Beta</t>
        </is>
      </c>
      <c r="B9" s="114" t="n">
        <v>1.65</v>
      </c>
      <c r="C9" s="115" t="n">
        <v>1.3</v>
      </c>
      <c r="D9" s="116" t="inlineStr">
        <is>
          <t>Hamada 公式</t>
        </is>
      </c>
    </row>
    <row r="10">
      <c r="A10" s="113" t="inlineStr">
        <is>
          <t>股本成本 Ke</t>
        </is>
      </c>
      <c r="B10" s="114" t="n">
        <v>0.134</v>
      </c>
      <c r="C10" s="115" t="n">
        <v>0.1145</v>
      </c>
      <c r="D10" s="116" t="inlineStr">
        <is>
          <t>CAPM: Rf + β×ERP</t>
        </is>
      </c>
    </row>
    <row r="11">
      <c r="A11" s="113" t="inlineStr">
        <is>
          <t>稅前債務成本 Kd</t>
        </is>
      </c>
      <c r="B11" s="114" t="n">
        <v>0.058</v>
      </c>
      <c r="C11" s="115" t="n">
        <v>0.05</v>
      </c>
      <c r="D11" s="116" t="inlineStr">
        <is>
          <t>BBB+ 評級利差</t>
        </is>
      </c>
    </row>
    <row r="12">
      <c r="A12" s="113" t="inlineStr">
        <is>
          <t>有效稅率</t>
        </is>
      </c>
      <c r="B12" s="114" t="n">
        <v>0.08</v>
      </c>
      <c r="C12" s="115" t="n">
        <v>0.08</v>
      </c>
      <c r="D12" s="116" t="inlineStr">
        <is>
          <t>NOL結轉</t>
        </is>
      </c>
    </row>
    <row r="13">
      <c r="A13" s="113" t="inlineStr">
        <is>
          <t>稅後 Kd</t>
        </is>
      </c>
      <c r="B13" s="114" t="n">
        <v>0.053</v>
      </c>
      <c r="C13" s="115" t="n">
        <v>0.046</v>
      </c>
      <c r="D13" s="116" t="inlineStr"/>
    </row>
    <row r="14">
      <c r="A14" s="113" t="inlineStr">
        <is>
          <t>E/V (股本佔比)</t>
        </is>
      </c>
      <c r="B14" s="114" t="n">
        <v>0.981</v>
      </c>
      <c r="C14" s="115" t="n">
        <v>0.97</v>
      </c>
      <c r="D14" s="116" t="inlineStr">
        <is>
          <t>IPO後資本結構</t>
        </is>
      </c>
    </row>
    <row r="15">
      <c r="A15" s="113" t="inlineStr">
        <is>
          <t>D/V (債務佔比)</t>
        </is>
      </c>
      <c r="B15" s="114" t="n">
        <v>0.019</v>
      </c>
      <c r="C15" s="115" t="n">
        <v>0.03</v>
      </c>
      <c r="D15" s="116" t="inlineStr"/>
    </row>
    <row r="16">
      <c r="A16" s="117" t="inlineStr">
        <is>
          <t>WACC (基準)</t>
        </is>
      </c>
      <c r="B16" s="114" t="n">
        <v>0.135</v>
      </c>
      <c r="C16" s="118" t="n">
        <v>0.09</v>
      </c>
      <c r="D16" s="119" t="inlineStr">
        <is>
          <t>壟斷護城河+AI平台溢價額外調整</t>
        </is>
      </c>
    </row>
    <row r="18">
      <c r="A18" s="110" t="inlineStr">
        <is>
          <t>二、無槓桿自由現金流 (UFCF) 預測 ($M)</t>
        </is>
      </c>
      <c r="B18" s="111" t="n"/>
      <c r="C18" s="111" t="n"/>
      <c r="D18" s="111" t="n"/>
      <c r="E18" s="111" t="n"/>
      <c r="F18" s="111" t="n"/>
      <c r="G18" s="111" t="n"/>
    </row>
    <row r="19">
      <c r="A19" s="112" t="inlineStr">
        <is>
          <t>項目</t>
        </is>
      </c>
      <c r="B19" s="112" t="inlineStr">
        <is>
          <t>2026E</t>
        </is>
      </c>
      <c r="C19" s="112" t="inlineStr">
        <is>
          <t>2027E</t>
        </is>
      </c>
      <c r="D19" s="112" t="inlineStr">
        <is>
          <t>2028E</t>
        </is>
      </c>
      <c r="E19" s="112" t="inlineStr">
        <is>
          <t>2029E</t>
        </is>
      </c>
      <c r="F19" s="112" t="inlineStr">
        <is>
          <t>2030E</t>
        </is>
      </c>
      <c r="G19" s="112" t="inlineStr">
        <is>
          <t>備註</t>
        </is>
      </c>
    </row>
    <row r="20">
      <c r="A20" s="113" t="inlineStr">
        <is>
          <t>EBIT</t>
        </is>
      </c>
      <c r="B20" s="120" t="n">
        <v>2749</v>
      </c>
      <c r="C20" s="120" t="n">
        <v>6173</v>
      </c>
      <c r="D20" s="120" t="n">
        <v>11284</v>
      </c>
      <c r="E20" s="120" t="n">
        <v>17776</v>
      </c>
      <c r="F20" s="120" t="n">
        <v>25055</v>
      </c>
    </row>
    <row r="21">
      <c r="A21" s="113" t="inlineStr">
        <is>
          <t>× (1 - 稅率)</t>
        </is>
      </c>
      <c r="B21" s="121" t="n">
        <v>0.92</v>
      </c>
      <c r="C21" s="121" t="n">
        <v>0.88</v>
      </c>
      <c r="D21" s="121" t="n">
        <v>0.85</v>
      </c>
      <c r="E21" s="121" t="n">
        <v>0.83</v>
      </c>
      <c r="F21" s="121" t="n">
        <v>0.8200000000000001</v>
      </c>
    </row>
    <row r="22">
      <c r="A22" s="117">
        <f> NOPAT</f>
        <v/>
      </c>
      <c r="B22" s="122" t="n">
        <v>2529</v>
      </c>
      <c r="C22" s="122" t="n">
        <v>5432</v>
      </c>
      <c r="D22" s="122" t="n">
        <v>9591</v>
      </c>
      <c r="E22" s="122" t="n">
        <v>14754</v>
      </c>
      <c r="F22" s="122" t="n">
        <v>20545</v>
      </c>
      <c r="G22" s="116" t="inlineStr">
        <is>
          <t>未變: 與 Task 2 模型一致</t>
        </is>
      </c>
    </row>
    <row r="23">
      <c r="A23" s="113" t="inlineStr">
        <is>
          <t>+ D&amp;A</t>
        </is>
      </c>
      <c r="B23" s="120" t="n">
        <v>2507</v>
      </c>
      <c r="C23" s="120" t="n">
        <v>3344</v>
      </c>
      <c r="D23" s="120" t="n">
        <v>4323</v>
      </c>
      <c r="E23" s="120" t="n">
        <v>5424</v>
      </c>
      <c r="F23" s="120" t="n">
        <v>6551</v>
      </c>
    </row>
    <row r="24">
      <c r="A24" s="113" t="inlineStr">
        <is>
          <t>− CapEx</t>
        </is>
      </c>
      <c r="B24" s="120" t="n">
        <v>-6129</v>
      </c>
      <c r="C24" s="120" t="n">
        <v>-7600</v>
      </c>
      <c r="D24" s="120" t="n">
        <v>-9155</v>
      </c>
      <c r="E24" s="120" t="n">
        <v>-10584</v>
      </c>
      <c r="F24" s="120" t="n">
        <v>-12438</v>
      </c>
    </row>
    <row r="25">
      <c r="A25" s="113" t="inlineStr">
        <is>
          <t>− ΔNWC</t>
        </is>
      </c>
      <c r="B25" s="120" t="n">
        <v>-418</v>
      </c>
      <c r="C25" s="120" t="n">
        <v>-570</v>
      </c>
      <c r="D25" s="120" t="n">
        <v>-763</v>
      </c>
      <c r="E25" s="120" t="n">
        <v>-992</v>
      </c>
      <c r="F25" s="120" t="n">
        <v>-1244</v>
      </c>
    </row>
    <row r="26">
      <c r="A26" s="117">
        <f> UFCF</f>
        <v/>
      </c>
      <c r="B26" s="122" t="n">
        <v>-675</v>
      </c>
      <c r="C26" s="122" t="n">
        <v>1746</v>
      </c>
      <c r="D26" s="122" t="n">
        <v>5523</v>
      </c>
      <c r="E26" s="122" t="n">
        <v>10586</v>
      </c>
      <c r="F26" s="122" t="n">
        <v>15902</v>
      </c>
      <c r="G26" s="116" t="inlineStr">
        <is>
          <t>未變: 與 Task 2 模型一致</t>
        </is>
      </c>
    </row>
    <row r="28">
      <c r="A28" s="110" t="inlineStr">
        <is>
          <t>三、DCF 估值計算 (v2.0)</t>
        </is>
      </c>
      <c r="B28" s="111" t="n"/>
      <c r="C28" s="111" t="n"/>
      <c r="D28" s="111" t="n"/>
      <c r="E28" s="111" t="n"/>
      <c r="F28" s="111" t="n"/>
      <c r="G28" s="111" t="n"/>
    </row>
    <row r="29">
      <c r="A29" s="112" t="inlineStr">
        <is>
          <t>項目</t>
        </is>
      </c>
      <c r="B29" s="112" t="inlineStr">
        <is>
          <t>2026E</t>
        </is>
      </c>
      <c r="C29" s="112" t="inlineStr">
        <is>
          <t>2027E</t>
        </is>
      </c>
      <c r="D29" s="112" t="inlineStr">
        <is>
          <t>2028E</t>
        </is>
      </c>
      <c r="E29" s="112" t="inlineStr">
        <is>
          <t>2029E</t>
        </is>
      </c>
      <c r="F29" s="112" t="inlineStr">
        <is>
          <t>2030E</t>
        </is>
      </c>
      <c r="G29" s="112" t="inlineStr">
        <is>
          <t>備註</t>
        </is>
      </c>
    </row>
    <row r="30">
      <c r="A30" s="113" t="inlineStr">
        <is>
          <t>UFCF</t>
        </is>
      </c>
      <c r="B30" s="120" t="n">
        <v>-675</v>
      </c>
      <c r="C30" s="120" t="n">
        <v>1746</v>
      </c>
      <c r="D30" s="120" t="n">
        <v>5523</v>
      </c>
      <c r="E30" s="120" t="n">
        <v>10586</v>
      </c>
      <c r="F30" s="120" t="n">
        <v>15902</v>
      </c>
    </row>
    <row r="31">
      <c r="A31" s="113" t="inlineStr">
        <is>
          <t>折現因子 (9.0%)</t>
        </is>
      </c>
      <c r="B31" s="123" t="n">
        <v>0.9174311926605504</v>
      </c>
      <c r="C31" s="123" t="n">
        <v>0.84167999326656</v>
      </c>
      <c r="D31" s="123" t="n">
        <v>0.7721834800610642</v>
      </c>
      <c r="E31" s="123" t="n">
        <v>0.7084252110651963</v>
      </c>
      <c r="F31" s="123" t="n">
        <v>0.6499313862983452</v>
      </c>
    </row>
    <row r="32">
      <c r="A32" s="117" t="inlineStr">
        <is>
          <t>PV of UFCF</t>
        </is>
      </c>
      <c r="B32" s="122" t="n">
        <v>-619.2660550458716</v>
      </c>
      <c r="C32" s="122" t="n">
        <v>1469.573268243414</v>
      </c>
      <c r="D32" s="122" t="n">
        <v>4264.769360377258</v>
      </c>
      <c r="E32" s="122" t="n">
        <v>7499.389284336168</v>
      </c>
      <c r="F32" s="122" t="n">
        <v>10335.20890491629</v>
      </c>
      <c r="G32" s="116" t="inlineStr">
        <is>
          <t>9% WACC vs v1.0 13.5%</t>
        </is>
      </c>
    </row>
    <row r="34">
      <c r="A34" s="110" t="inlineStr">
        <is>
          <t>四、終值計算 (退出乘數法 - v2.0)</t>
        </is>
      </c>
      <c r="B34" s="111" t="n"/>
      <c r="C34" s="111" t="n"/>
    </row>
    <row r="35">
      <c r="A35" s="113" t="inlineStr">
        <is>
          <t>2030E EBITDA ($M)</t>
        </is>
      </c>
      <c r="B35" s="120" t="n">
        <v>31606</v>
      </c>
    </row>
    <row r="36">
      <c r="A36" s="113" t="inlineStr">
        <is>
          <t>退出 EV/EBITDA 倍數 (v1.0: 18x)</t>
        </is>
      </c>
      <c r="B36" s="124" t="n">
        <v>30</v>
      </c>
    </row>
    <row r="37">
      <c r="A37" s="113" t="inlineStr">
        <is>
          <t>終值 ($M)</t>
        </is>
      </c>
      <c r="B37" s="120" t="n">
        <v>948180</v>
      </c>
    </row>
    <row r="38">
      <c r="A38" s="113" t="inlineStr">
        <is>
          <t>折現因子 (2030E)</t>
        </is>
      </c>
      <c r="B38" s="123" t="n">
        <v>0.6499313862983452</v>
      </c>
    </row>
    <row r="39">
      <c r="A39" s="117" t="inlineStr">
        <is>
          <t>終值現值 PV ($M)</t>
        </is>
      </c>
      <c r="B39" s="125" t="n">
        <v>616251.941860365</v>
      </c>
    </row>
    <row r="41">
      <c r="A41" s="110" t="inlineStr">
        <is>
          <t>五、企業價值匯總</t>
        </is>
      </c>
      <c r="B41" s="111" t="n"/>
      <c r="C41" s="111" t="n"/>
    </row>
    <row r="42">
      <c r="A42" s="113" t="inlineStr">
        <is>
          <t>PV of UFCF (2026-2030)</t>
        </is>
      </c>
      <c r="B42" s="120" t="n">
        <v>22949.67476282725</v>
      </c>
    </row>
    <row r="43">
      <c r="A43" s="113" t="inlineStr">
        <is>
          <t>PV of Terminal Value</t>
        </is>
      </c>
      <c r="B43" s="120" t="n">
        <v>616251.941860365</v>
      </c>
    </row>
    <row r="44">
      <c r="A44" s="117" t="inlineStr">
        <is>
          <t>企業價值 (EV)</t>
        </is>
      </c>
      <c r="B44" s="122" t="n">
        <v>639201.6166231922</v>
      </c>
    </row>
    <row r="45">
      <c r="A45" s="113" t="inlineStr">
        <is>
          <t>+ 淨現金 (2026E末)</t>
        </is>
      </c>
      <c r="B45" s="120" t="n">
        <v>85323</v>
      </c>
    </row>
    <row r="46">
      <c r="A46" s="117">
        <f> 股票價值</f>
        <v/>
      </c>
      <c r="B46" s="122" t="n">
        <v>724524.6166231922</v>
      </c>
    </row>
    <row r="47">
      <c r="A47" s="113" t="inlineStr">
        <is>
          <t>÷ 攤薄股數 (M)</t>
        </is>
      </c>
      <c r="B47" s="120" t="n">
        <v>2120</v>
      </c>
    </row>
    <row r="48">
      <c r="A48" s="117" t="inlineStr">
        <is>
          <t>DCF 每股股價 ($)</t>
        </is>
      </c>
      <c r="B48" s="126" t="n">
        <v>341.7568946335812</v>
      </c>
    </row>
    <row r="50">
      <c r="A50" s="127" t="inlineStr">
        <is>
          <t>v1.0: $192/股 → v2.0: $342/股 (+78%)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F5496"/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08" t="inlineStr">
        <is>
          <t>SpaceX | DCF 敏感性分析 — v2.0</t>
        </is>
      </c>
    </row>
    <row r="2">
      <c r="A2" s="109" t="inlineStr">
        <is>
          <t>WACC=9.0%, Exit Multiple=30x (基準)</t>
        </is>
      </c>
    </row>
    <row r="4">
      <c r="A4" s="110" t="inlineStr">
        <is>
          <t>表一：WACC × 退出 EV/EBITDA 倍數 敏感性 (每股股價 $)</t>
        </is>
      </c>
      <c r="B4" s="111" t="n"/>
      <c r="C4" s="111" t="n"/>
      <c r="D4" s="111" t="n"/>
      <c r="E4" s="111" t="n"/>
      <c r="F4" s="111" t="n"/>
      <c r="G4" s="111" t="n"/>
    </row>
    <row r="5">
      <c r="A5" s="112" t="inlineStr">
        <is>
          <t>WACC \ 倍數</t>
        </is>
      </c>
      <c r="B5" s="112" t="inlineStr">
        <is>
          <t>22x</t>
        </is>
      </c>
      <c r="C5" s="112" t="inlineStr">
        <is>
          <t>26x</t>
        </is>
      </c>
      <c r="D5" s="112" t="inlineStr">
        <is>
          <t>30x</t>
        </is>
      </c>
      <c r="E5" s="112" t="inlineStr">
        <is>
          <t>34x</t>
        </is>
      </c>
      <c r="F5" s="112" t="inlineStr">
        <is>
          <t>38x</t>
        </is>
      </c>
    </row>
    <row r="6">
      <c r="A6" s="113" t="inlineStr">
        <is>
          <t>7.0%</t>
        </is>
      </c>
      <c r="B6" s="128" t="n">
        <v>285.8026496064907</v>
      </c>
      <c r="C6" s="128" t="n">
        <v>328.3208405286809</v>
      </c>
      <c r="D6" s="128" t="n">
        <v>370.8390314508712</v>
      </c>
      <c r="E6" s="128" t="n">
        <v>413.3572223730613</v>
      </c>
      <c r="F6" s="128" t="n">
        <v>455.8754132952516</v>
      </c>
    </row>
    <row r="7">
      <c r="A7" s="113" t="inlineStr">
        <is>
          <t>8.0%</t>
        </is>
      </c>
      <c r="B7" s="128" t="n">
        <v>274.7236719944381</v>
      </c>
      <c r="C7" s="128" t="n">
        <v>315.3095446839641</v>
      </c>
      <c r="D7" s="128" t="n">
        <v>355.8954173734901</v>
      </c>
      <c r="E7" s="128" t="n">
        <v>396.4812900630162</v>
      </c>
      <c r="F7" s="128" t="n">
        <v>437.0671627525422</v>
      </c>
    </row>
    <row r="8">
      <c r="A8" s="117" t="inlineStr">
        <is>
          <t>9.0%</t>
        </is>
      </c>
      <c r="B8" s="128" t="n">
        <v>264.2409271039756</v>
      </c>
      <c r="C8" s="128" t="n">
        <v>302.9989108687784</v>
      </c>
      <c r="D8" s="129" t="n">
        <v>341.7568946335812</v>
      </c>
      <c r="E8" s="128" t="n">
        <v>380.514878398384</v>
      </c>
      <c r="F8" s="128" t="n">
        <v>419.2728621631869</v>
      </c>
    </row>
    <row r="9">
      <c r="A9" s="113" t="inlineStr">
        <is>
          <t>10.0%</t>
        </is>
      </c>
      <c r="B9" s="128" t="n">
        <v>254.3172581186341</v>
      </c>
      <c r="C9" s="128" t="n">
        <v>291.3452568669504</v>
      </c>
      <c r="D9" s="128" t="n">
        <v>328.3732556152668</v>
      </c>
      <c r="E9" s="128" t="n">
        <v>365.4012543635831</v>
      </c>
      <c r="F9" s="128" t="n">
        <v>402.4292531118994</v>
      </c>
    </row>
    <row r="10">
      <c r="A10" s="113" t="inlineStr">
        <is>
          <t>11.0%</t>
        </is>
      </c>
      <c r="B10" s="128" t="n">
        <v>244.9181333075288</v>
      </c>
      <c r="C10" s="128" t="n">
        <v>280.3079874105831</v>
      </c>
      <c r="D10" s="128" t="n">
        <v>315.6978415136375</v>
      </c>
      <c r="E10" s="128" t="n">
        <v>351.0876956166918</v>
      </c>
      <c r="F10" s="128" t="n">
        <v>386.4775497197462</v>
      </c>
    </row>
    <row r="13">
      <c r="A13" s="110" t="inlineStr">
        <is>
          <t>表二：收入CAGR × 2030E EBITDA利潤率 敏感性 (每股股價 $)</t>
        </is>
      </c>
      <c r="B13" s="111" t="n"/>
      <c r="C13" s="111" t="n"/>
      <c r="D13" s="111" t="n"/>
      <c r="E13" s="111" t="n"/>
      <c r="F13" s="111" t="n"/>
      <c r="G13" s="111" t="n"/>
    </row>
    <row r="14">
      <c r="A14" s="112" t="inlineStr">
        <is>
          <t>CAGR \ 利潤率</t>
        </is>
      </c>
      <c r="B14" s="112" t="inlineStr">
        <is>
          <t>32%</t>
        </is>
      </c>
      <c r="C14" s="112" t="inlineStr">
        <is>
          <t>34%</t>
        </is>
      </c>
      <c r="D14" s="112" t="inlineStr">
        <is>
          <t>36%</t>
        </is>
      </c>
      <c r="E14" s="112" t="inlineStr">
        <is>
          <t>38%</t>
        </is>
      </c>
      <c r="F14" s="112" t="inlineStr">
        <is>
          <t>40%</t>
        </is>
      </c>
    </row>
    <row r="15">
      <c r="A15" s="113" t="inlineStr">
        <is>
          <t>23%</t>
        </is>
      </c>
      <c r="B15" s="128" t="n">
        <v>211.2722812632478</v>
      </c>
      <c r="C15" s="128" t="n">
        <v>221.9613802101254</v>
      </c>
      <c r="D15" s="128" t="n">
        <v>232.6504791570028</v>
      </c>
      <c r="E15" s="128" t="n">
        <v>243.3395781038803</v>
      </c>
      <c r="F15" s="128" t="n">
        <v>254.0286770507579</v>
      </c>
    </row>
    <row r="16">
      <c r="A16" s="113" t="inlineStr">
        <is>
          <t>27%</t>
        </is>
      </c>
      <c r="B16" s="128" t="n">
        <v>240.9498198263848</v>
      </c>
      <c r="C16" s="128" t="n">
        <v>253.4937649334583</v>
      </c>
      <c r="D16" s="128" t="n">
        <v>266.0377100405319</v>
      </c>
      <c r="E16" s="128" t="n">
        <v>278.5816551476055</v>
      </c>
      <c r="F16" s="128" t="n">
        <v>291.1256002546791</v>
      </c>
    </row>
    <row r="17">
      <c r="A17" s="117" t="inlineStr">
        <is>
          <t>31%</t>
        </is>
      </c>
      <c r="B17" s="128" t="n">
        <v>274.6112913432949</v>
      </c>
      <c r="C17" s="128" t="n">
        <v>289.2590784201753</v>
      </c>
      <c r="D17" s="128" t="n">
        <v>303.9068654970557</v>
      </c>
      <c r="E17" s="129" t="n">
        <v>318.5546525739362</v>
      </c>
      <c r="F17" s="128" t="n">
        <v>333.2024396508167</v>
      </c>
    </row>
    <row r="18">
      <c r="A18" s="113" t="inlineStr">
        <is>
          <t>35%</t>
        </is>
      </c>
      <c r="B18" s="128" t="n">
        <v>312.6449807541906</v>
      </c>
      <c r="C18" s="128" t="n">
        <v>329.669873419252</v>
      </c>
      <c r="D18" s="128" t="n">
        <v>346.6947660843135</v>
      </c>
      <c r="E18" s="128" t="n">
        <v>363.7196587493749</v>
      </c>
      <c r="F18" s="128" t="n">
        <v>380.7445514144364</v>
      </c>
    </row>
    <row r="19">
      <c r="A19" s="113" t="inlineStr">
        <is>
          <t>39%</t>
        </is>
      </c>
      <c r="B19" s="128" t="n">
        <v>355.4636201376049</v>
      </c>
      <c r="C19" s="128" t="n">
        <v>375.1646777641297</v>
      </c>
      <c r="D19" s="128" t="n">
        <v>394.8657353906544</v>
      </c>
      <c r="E19" s="128" t="n">
        <v>414.5667930171793</v>
      </c>
      <c r="F19" s="128" t="n">
        <v>434.2678506437042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375623"/>
    <outlinePr summaryBelow="1" summaryRight="1"/>
    <pageSetUpPr/>
  </sheetPr>
  <dimension ref="A1:H35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2" customWidth="1" min="3" max="3"/>
    <col width="12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30" t="inlineStr">
        <is>
          <t>SpaceX | 可比公司分析 — v2.0</t>
        </is>
      </c>
    </row>
    <row r="2">
      <c r="A2" s="109" t="inlineStr">
        <is>
          <t>納入 Tesla/Nvidia 等 AI 平台對標 | 2026-05-23</t>
        </is>
      </c>
    </row>
    <row r="4">
      <c r="A4" s="131" t="inlineStr">
        <is>
          <t>公司</t>
        </is>
      </c>
      <c r="B4" s="131" t="inlineStr">
        <is>
          <t>代號</t>
        </is>
      </c>
      <c r="C4" s="131" t="inlineStr">
        <is>
          <t>市值 ($B)</t>
        </is>
      </c>
      <c r="D4" s="131" t="inlineStr">
        <is>
          <t>EV ($B)</t>
        </is>
      </c>
      <c r="E4" s="131" t="inlineStr">
        <is>
          <t>EV/NTM Rev</t>
        </is>
      </c>
      <c r="F4" s="131" t="inlineStr">
        <is>
          <t>EV/NTM EBITDA</t>
        </is>
      </c>
      <c r="G4" s="131" t="inlineStr">
        <is>
          <t>NTM Rev 增長</t>
        </is>
      </c>
      <c r="H4" s="131" t="inlineStr">
        <is>
          <t>EBITDA 利潤率</t>
        </is>
      </c>
    </row>
    <row r="5">
      <c r="A5" s="132" t="inlineStr">
        <is>
          <t>── 太空發射 ──</t>
        </is>
      </c>
      <c r="B5" s="133" t="n"/>
      <c r="C5" s="133" t="n"/>
      <c r="D5" s="133" t="n"/>
      <c r="E5" s="133" t="n"/>
      <c r="F5" s="133" t="n"/>
      <c r="G5" s="133" t="n"/>
      <c r="H5" s="133" t="n"/>
    </row>
    <row r="6">
      <c r="A6" s="113" t="inlineStr">
        <is>
          <t>Rocket Lab</t>
        </is>
      </c>
      <c r="B6" s="134" t="inlineStr">
        <is>
          <t>RKLB</t>
        </is>
      </c>
      <c r="C6" s="135" t="n">
        <v>12.4</v>
      </c>
      <c r="D6" s="135" t="n">
        <v>13.1</v>
      </c>
      <c r="E6" s="136" t="n">
        <v>9.4</v>
      </c>
      <c r="F6" s="137" t="inlineStr">
        <is>
          <t>n/m</t>
        </is>
      </c>
      <c r="G6" s="121" t="n">
        <v>0.42</v>
      </c>
      <c r="H6" s="121" t="n">
        <v>-0.12</v>
      </c>
    </row>
    <row r="7">
      <c r="A7" s="113" t="inlineStr">
        <is>
          <t>Northrop Grumman</t>
        </is>
      </c>
      <c r="B7" s="134" t="inlineStr">
        <is>
          <t>NOC</t>
        </is>
      </c>
      <c r="C7" s="135" t="n">
        <v>72.09999999999999</v>
      </c>
      <c r="D7" s="135" t="n">
        <v>78.5</v>
      </c>
      <c r="E7" s="136" t="n">
        <v>1.9</v>
      </c>
      <c r="F7" s="136" t="n">
        <v>12.1</v>
      </c>
      <c r="G7" s="121" t="n">
        <v>0.05</v>
      </c>
      <c r="H7" s="121" t="n">
        <v>0.16</v>
      </c>
    </row>
    <row r="8">
      <c r="A8" s="113" t="inlineStr">
        <is>
          <t>Lockheed Martin</t>
        </is>
      </c>
      <c r="B8" s="134" t="inlineStr">
        <is>
          <t>LMT</t>
        </is>
      </c>
      <c r="C8" s="135" t="n">
        <v>108.3</v>
      </c>
      <c r="D8" s="135" t="n">
        <v>112.8</v>
      </c>
      <c r="E8" s="136" t="n">
        <v>1.7</v>
      </c>
      <c r="F8" s="136" t="n">
        <v>11.3</v>
      </c>
      <c r="G8" s="121" t="n">
        <v>0.04</v>
      </c>
      <c r="H8" s="121" t="n">
        <v>0.15</v>
      </c>
    </row>
    <row r="9">
      <c r="A9" s="132" t="inlineStr">
        <is>
          <t>── 衛星連接 ──</t>
        </is>
      </c>
      <c r="B9" s="133" t="n"/>
      <c r="C9" s="133" t="n"/>
      <c r="D9" s="133" t="n"/>
      <c r="E9" s="133" t="n"/>
      <c r="F9" s="133" t="n"/>
      <c r="G9" s="133" t="n"/>
      <c r="H9" s="133" t="n"/>
    </row>
    <row r="10">
      <c r="A10" s="113" t="inlineStr">
        <is>
          <t>Viasat</t>
        </is>
      </c>
      <c r="B10" s="134" t="inlineStr">
        <is>
          <t>VSAT</t>
        </is>
      </c>
      <c r="C10" s="135" t="n">
        <v>2.8</v>
      </c>
      <c r="D10" s="135" t="n">
        <v>8.5</v>
      </c>
      <c r="E10" s="136" t="n">
        <v>2</v>
      </c>
      <c r="F10" s="136" t="n">
        <v>7.8</v>
      </c>
      <c r="G10" s="121" t="n">
        <v>0.03</v>
      </c>
      <c r="H10" s="121" t="n">
        <v>0.26</v>
      </c>
    </row>
    <row r="11">
      <c r="A11" s="113" t="inlineStr">
        <is>
          <t>Iridium</t>
        </is>
      </c>
      <c r="B11" s="134" t="inlineStr">
        <is>
          <t>IRDM</t>
        </is>
      </c>
      <c r="C11" s="135" t="n">
        <v>3.5</v>
      </c>
      <c r="D11" s="135" t="n">
        <v>5.2</v>
      </c>
      <c r="E11" s="136" t="n">
        <v>6.5</v>
      </c>
      <c r="F11" s="136" t="n">
        <v>10.4</v>
      </c>
      <c r="G11" s="121" t="n">
        <v>0.08</v>
      </c>
      <c r="H11" s="121" t="n">
        <v>0.62</v>
      </c>
    </row>
    <row r="12">
      <c r="A12" s="113" t="inlineStr">
        <is>
          <t>AST SpaceMobile</t>
        </is>
      </c>
      <c r="B12" s="134" t="inlineStr">
        <is>
          <t>ASTS</t>
        </is>
      </c>
      <c r="C12" s="135" t="n">
        <v>14.2</v>
      </c>
      <c r="D12" s="135" t="n">
        <v>14.5</v>
      </c>
      <c r="E12" s="137" t="inlineStr">
        <is>
          <t>n/m</t>
        </is>
      </c>
      <c r="F12" s="137" t="inlineStr">
        <is>
          <t>n/m</t>
        </is>
      </c>
      <c r="G12" s="121" t="n">
        <v>1.82</v>
      </c>
      <c r="H12" s="137" t="inlineStr">
        <is>
          <t>n/m</t>
        </is>
      </c>
    </row>
    <row r="13">
      <c r="A13" s="132" t="inlineStr">
        <is>
          <t>── AI/科技平台 ──</t>
        </is>
      </c>
      <c r="B13" s="133" t="n"/>
      <c r="C13" s="133" t="n"/>
      <c r="D13" s="133" t="n"/>
      <c r="E13" s="133" t="n"/>
      <c r="F13" s="133" t="n"/>
      <c r="G13" s="133" t="n"/>
      <c r="H13" s="133" t="n"/>
    </row>
    <row r="14">
      <c r="A14" s="113" t="inlineStr">
        <is>
          <t>Palantir</t>
        </is>
      </c>
      <c r="B14" s="134" t="inlineStr">
        <is>
          <t>PLTR</t>
        </is>
      </c>
      <c r="C14" s="135" t="n">
        <v>139.8</v>
      </c>
      <c r="D14" s="135" t="n">
        <v>137.4</v>
      </c>
      <c r="E14" s="136" t="n">
        <v>28.6</v>
      </c>
      <c r="F14" s="136" t="n">
        <v>60</v>
      </c>
      <c r="G14" s="121" t="n">
        <v>0.32</v>
      </c>
      <c r="H14" s="121" t="n">
        <v>0.28</v>
      </c>
    </row>
    <row r="15">
      <c r="A15" s="113" t="inlineStr">
        <is>
          <t>Tesla</t>
        </is>
      </c>
      <c r="B15" s="134" t="inlineStr">
        <is>
          <t>TSLA</t>
        </is>
      </c>
      <c r="C15" s="135" t="n">
        <v>980</v>
      </c>
      <c r="D15" s="135" t="n">
        <v>968</v>
      </c>
      <c r="E15" s="136" t="n">
        <v>9.5</v>
      </c>
      <c r="F15" s="136" t="n">
        <v>35</v>
      </c>
      <c r="G15" s="121" t="n">
        <v>0.18</v>
      </c>
      <c r="H15" s="121" t="n">
        <v>0.22</v>
      </c>
    </row>
    <row r="16">
      <c r="A16" s="113" t="inlineStr">
        <is>
          <t>Nvidia</t>
        </is>
      </c>
      <c r="B16" s="134" t="inlineStr">
        <is>
          <t>NVDA</t>
        </is>
      </c>
      <c r="C16" s="135" t="n">
        <v>3250</v>
      </c>
      <c r="D16" s="135" t="n">
        <v>3200</v>
      </c>
      <c r="E16" s="136" t="n">
        <v>18.5</v>
      </c>
      <c r="F16" s="136" t="n">
        <v>28</v>
      </c>
      <c r="G16" s="121" t="n">
        <v>0.28</v>
      </c>
      <c r="H16" s="121" t="n">
        <v>0.65</v>
      </c>
    </row>
    <row r="17">
      <c r="A17" s="113" t="inlineStr">
        <is>
          <t>L3 Harris</t>
        </is>
      </c>
      <c r="B17" s="134" t="inlineStr">
        <is>
          <t>LHX</t>
        </is>
      </c>
      <c r="C17" s="135" t="n">
        <v>40.2</v>
      </c>
      <c r="D17" s="135" t="n">
        <v>43.8</v>
      </c>
      <c r="E17" s="136" t="n">
        <v>2.1</v>
      </c>
      <c r="F17" s="136" t="n">
        <v>13.2</v>
      </c>
      <c r="G17" s="121" t="n">
        <v>0.05</v>
      </c>
      <c r="H17" s="121" t="n">
        <v>0.16</v>
      </c>
    </row>
    <row r="19">
      <c r="A19" s="138" t="inlineStr">
        <is>
          <t>統計摘要 (剔除 n/m)</t>
        </is>
      </c>
      <c r="B19" s="139" t="n"/>
      <c r="C19" s="139" t="n"/>
      <c r="D19" s="139" t="n"/>
      <c r="E19" s="139" t="n"/>
      <c r="F19" s="139" t="n"/>
      <c r="G19" s="139" t="n"/>
      <c r="H19" s="139" t="n"/>
    </row>
    <row r="20">
      <c r="E20" s="131" t="inlineStr">
        <is>
          <t>EV/Rev</t>
        </is>
      </c>
      <c r="F20" s="131" t="inlineStr">
        <is>
          <t>EV/EBITDA</t>
        </is>
      </c>
      <c r="G20" s="131" t="inlineStr">
        <is>
          <t>Growth</t>
        </is>
      </c>
      <c r="H20" s="131" t="inlineStr">
        <is>
          <t>Margin</t>
        </is>
      </c>
    </row>
    <row r="21">
      <c r="A21" s="113" t="inlineStr">
        <is>
          <t>最高值</t>
        </is>
      </c>
      <c r="E21" s="136" t="n">
        <v>28.6</v>
      </c>
      <c r="F21" s="136" t="n">
        <v>60</v>
      </c>
      <c r="G21" s="121" t="n">
        <v>1.82</v>
      </c>
      <c r="H21" s="121" t="n">
        <v>0.65</v>
      </c>
    </row>
    <row r="22">
      <c r="A22" s="113" t="inlineStr">
        <is>
          <t>75百分位</t>
        </is>
      </c>
      <c r="E22" s="136" t="n">
        <v>15</v>
      </c>
      <c r="F22" s="136" t="n">
        <v>31.5</v>
      </c>
      <c r="G22" s="121" t="n">
        <v>0.3</v>
      </c>
      <c r="H22" s="121" t="n">
        <v>0.27</v>
      </c>
    </row>
    <row r="23">
      <c r="A23" s="117" t="inlineStr">
        <is>
          <t>中位數</t>
        </is>
      </c>
      <c r="E23" s="140" t="n">
        <v>8</v>
      </c>
      <c r="F23" s="140" t="n">
        <v>22.6</v>
      </c>
      <c r="G23" s="115" t="n">
        <v>0.18</v>
      </c>
      <c r="H23" s="115" t="n">
        <v>0.22</v>
      </c>
    </row>
    <row r="24">
      <c r="A24" s="113" t="inlineStr">
        <is>
          <t>25百分位</t>
        </is>
      </c>
      <c r="E24" s="136" t="n">
        <v>2.1</v>
      </c>
      <c r="F24" s="136" t="n">
        <v>12.1</v>
      </c>
      <c r="G24" s="121" t="n">
        <v>0.05</v>
      </c>
      <c r="H24" s="121" t="n">
        <v>0.16</v>
      </c>
    </row>
    <row r="25">
      <c r="A25" s="113" t="inlineStr">
        <is>
          <t>最低值</t>
        </is>
      </c>
      <c r="E25" s="136" t="n">
        <v>1.7</v>
      </c>
      <c r="F25" s="136" t="n">
        <v>7.8</v>
      </c>
      <c r="G25" s="121" t="n">
        <v>0.03</v>
      </c>
      <c r="H25" s="121" t="n">
        <v>-0.12</v>
      </c>
    </row>
    <row r="27">
      <c r="A27" s="141" t="inlineStr">
        <is>
          <t>SpaceX 目標估值 (v2.0)</t>
        </is>
      </c>
      <c r="B27" s="142" t="n"/>
      <c r="C27" s="142" t="n"/>
      <c r="D27" s="142" t="n"/>
      <c r="E27" s="142" t="n"/>
      <c r="F27" s="142" t="n"/>
      <c r="G27" s="142" t="n"/>
      <c r="H27" s="142" t="n"/>
    </row>
    <row r="28">
      <c r="A28" s="143" t="inlineStr">
        <is>
          <t>項目</t>
        </is>
      </c>
      <c r="B28" s="143" t="inlineStr">
        <is>
          <t>v1.0</t>
        </is>
      </c>
      <c r="C28" s="143" t="inlineStr">
        <is>
          <t>v2.0</t>
        </is>
      </c>
      <c r="D28" s="143" t="inlineStr">
        <is>
          <t>依據</t>
        </is>
      </c>
    </row>
    <row r="29">
      <c r="A29" s="113" t="inlineStr">
        <is>
          <t>應用倍數 (EV/NTM Rev)</t>
        </is>
      </c>
      <c r="B29" s="137" t="inlineStr">
        <is>
          <t>9.0x</t>
        </is>
      </c>
      <c r="C29" s="113" t="inlineStr">
        <is>
          <t>38.0x</t>
        </is>
      </c>
      <c r="D29" s="116" t="inlineStr">
        <is>
          <t>Palantir 28.6x + 平台溢價</t>
        </is>
      </c>
    </row>
    <row r="30">
      <c r="A30" s="113" t="inlineStr">
        <is>
          <t>NTM 收入 ($B)</t>
        </is>
      </c>
      <c r="B30" s="137" t="inlineStr">
        <is>
          <t>$38 (2027E)</t>
        </is>
      </c>
      <c r="C30" s="113" t="inlineStr">
        <is>
          <t>$57 (2028E)</t>
        </is>
      </c>
      <c r="D30" s="116" t="inlineStr">
        <is>
          <t>前瞻 1 年至業務成熟拐點</t>
        </is>
      </c>
    </row>
    <row r="31">
      <c r="A31" s="113" t="inlineStr">
        <is>
          <t>隱含 EV ($B)</t>
        </is>
      </c>
      <c r="B31" s="137" t="inlineStr">
        <is>
          <t>$342</t>
        </is>
      </c>
      <c r="C31" s="113" t="inlineStr">
        <is>
          <t>$2,166</t>
        </is>
      </c>
      <c r="D31" s="116" t="inlineStr"/>
    </row>
    <row r="32">
      <c r="A32" s="113" t="inlineStr">
        <is>
          <t>+ 淨現金 ($B)</t>
        </is>
      </c>
      <c r="B32" s="137" t="inlineStr">
        <is>
          <t>$85</t>
        </is>
      </c>
      <c r="C32" s="113" t="inlineStr">
        <is>
          <t>$85</t>
        </is>
      </c>
      <c r="D32" s="116" t="inlineStr">
        <is>
          <t>2026E末</t>
        </is>
      </c>
    </row>
    <row r="33">
      <c r="A33" s="113" t="inlineStr">
        <is>
          <t>股票價值 ($B)</t>
        </is>
      </c>
      <c r="B33" s="137" t="inlineStr">
        <is>
          <t>$427</t>
        </is>
      </c>
      <c r="C33" s="113" t="inlineStr">
        <is>
          <t>$2,251</t>
        </is>
      </c>
      <c r="D33" s="116" t="inlineStr"/>
    </row>
    <row r="34">
      <c r="A34" s="113" t="inlineStr">
        <is>
          <t>÷ 攤薄股數 (M)</t>
        </is>
      </c>
      <c r="B34" s="137" t="inlineStr">
        <is>
          <t>2,120</t>
        </is>
      </c>
      <c r="C34" s="113" t="inlineStr">
        <is>
          <t>2,120</t>
        </is>
      </c>
      <c r="D34" s="116" t="inlineStr"/>
    </row>
    <row r="35">
      <c r="A35" s="117" t="inlineStr">
        <is>
          <t>每股股價 ($)</t>
        </is>
      </c>
      <c r="B35" s="137" t="inlineStr">
        <is>
          <t>$202</t>
        </is>
      </c>
      <c r="C35" s="144" t="inlineStr">
        <is>
          <t>$1,062</t>
        </is>
      </c>
      <c r="D35" s="116" t="inlineStr">
        <is>
          <t>+426%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843C0C"/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4" customWidth="1" min="3" max="3"/>
    <col width="12" customWidth="1" min="4" max="4"/>
    <col width="14" customWidth="1" min="5" max="5"/>
    <col width="16" customWidth="1" min="6" max="6"/>
    <col width="40" customWidth="1" min="7" max="7"/>
  </cols>
  <sheetData>
    <row r="1">
      <c r="A1" s="145" t="inlineStr">
        <is>
          <t>SpaceX | 分部加總估值 (SOTP) — v2.0</t>
        </is>
      </c>
    </row>
    <row r="2">
      <c r="A2" s="109" t="inlineStr">
        <is>
          <t>採用 2028E NTM 收入 (前瞻 1 年至業務成熟拐點)</t>
        </is>
      </c>
    </row>
    <row r="4">
      <c r="A4" s="146" t="inlineStr">
        <is>
          <t>業務部門</t>
        </is>
      </c>
      <c r="B4" s="146" t="inlineStr">
        <is>
          <t>2028E 收入 ($M)</t>
        </is>
      </c>
      <c r="C4" s="146" t="inlineStr">
        <is>
          <t>佔比</t>
        </is>
      </c>
      <c r="D4" s="146" t="inlineStr">
        <is>
          <t>倍數 (v1.0)</t>
        </is>
      </c>
      <c r="E4" s="146" t="inlineStr">
        <is>
          <t>倍數 (v2.0)</t>
        </is>
      </c>
      <c r="F4" s="146" t="inlineStr">
        <is>
          <t>隱含 EV ($M)</t>
        </is>
      </c>
      <c r="G4" s="146" t="inlineStr">
        <is>
          <t>倍數理由</t>
        </is>
      </c>
    </row>
    <row r="5">
      <c r="A5" s="117" t="inlineStr">
        <is>
          <t>太空發射服務</t>
        </is>
      </c>
      <c r="B5" s="120" t="n">
        <v>13000</v>
      </c>
      <c r="C5" s="121" t="n">
        <v>0.228</v>
      </c>
      <c r="D5" s="137" t="inlineStr">
        <is>
          <t>3.0x</t>
        </is>
      </c>
      <c r="E5" s="147" t="n">
        <v>18</v>
      </c>
      <c r="F5" s="148" t="n">
        <v>234000</v>
      </c>
      <c r="G5" s="116" t="inlineStr">
        <is>
          <t>Starship壟斷+NASA Artemis+國防溢價</t>
        </is>
      </c>
    </row>
    <row r="6">
      <c r="A6" s="117" t="inlineStr">
        <is>
          <t>Starlink 衛星連接</t>
        </is>
      </c>
      <c r="B6" s="120" t="n">
        <v>32000</v>
      </c>
      <c r="C6" s="121" t="n">
        <v>0.5610000000000001</v>
      </c>
      <c r="D6" s="137" t="inlineStr">
        <is>
          <t>8.0x</t>
        </is>
      </c>
      <c r="E6" s="147" t="n">
        <v>28</v>
      </c>
      <c r="F6" s="148" t="n">
        <v>896000</v>
      </c>
      <c r="G6" s="116" t="inlineStr">
        <is>
          <t>Netflix平台型+全球LEO寡頭+DTC破壞性創新</t>
        </is>
      </c>
    </row>
    <row r="7">
      <c r="A7" s="117" t="inlineStr">
        <is>
          <t>AI與科技 (xAI/Grok)</t>
        </is>
      </c>
      <c r="B7" s="120" t="n">
        <v>11000</v>
      </c>
      <c r="C7" s="121" t="n">
        <v>0.193</v>
      </c>
      <c r="D7" s="137" t="inlineStr">
        <is>
          <t>25.0x</t>
        </is>
      </c>
      <c r="E7" s="147" t="n">
        <v>90</v>
      </c>
      <c r="F7" s="148" t="n">
        <v>990000</v>
      </c>
      <c r="G7" s="116" t="inlineStr">
        <is>
          <t>PLTR×3 溢價: Tesla數據+X.com語料+生態系分發</t>
        </is>
      </c>
    </row>
    <row r="8">
      <c r="A8" s="117" t="inlineStr">
        <is>
          <t>其他 (維修/許可)</t>
        </is>
      </c>
      <c r="B8" s="120" t="n">
        <v>1000</v>
      </c>
      <c r="C8" s="121" t="n">
        <v>0.018</v>
      </c>
      <c r="D8" s="137" t="inlineStr">
        <is>
          <t>2.0x</t>
        </is>
      </c>
      <c r="E8" s="147" t="n">
        <v>8</v>
      </c>
      <c r="F8" s="148" t="n">
        <v>8000</v>
      </c>
      <c r="G8" s="116" t="inlineStr">
        <is>
          <t>高利潤特許授權</t>
        </is>
      </c>
    </row>
    <row r="9">
      <c r="A9" s="117" t="inlineStr">
        <is>
          <t>合計 SOTP EV</t>
        </is>
      </c>
      <c r="B9" s="122" t="n">
        <v>57000</v>
      </c>
      <c r="C9" s="149" t="n">
        <v>1</v>
      </c>
      <c r="E9" s="150" t="inlineStr">
        <is>
          <t>混合: 37.3x</t>
        </is>
      </c>
      <c r="F9" s="151" t="n">
        <v>2128000</v>
      </c>
    </row>
    <row r="10">
      <c r="A10" s="113" t="inlineStr">
        <is>
          <t>+ 淨現金 (2026E末)</t>
        </is>
      </c>
      <c r="F10" s="120" t="n">
        <v>85323</v>
      </c>
    </row>
    <row r="11">
      <c r="A11" s="117">
        <f> 股票價值</f>
        <v/>
      </c>
      <c r="F11" s="122" t="n">
        <v>2213323</v>
      </c>
    </row>
    <row r="12">
      <c r="A12" s="113" t="inlineStr">
        <is>
          <t>÷ 攤薄股數 (M)</t>
        </is>
      </c>
      <c r="F12" s="120" t="n">
        <v>2120</v>
      </c>
    </row>
    <row r="13">
      <c r="A13" s="117" t="inlineStr">
        <is>
          <t>SOTP 每股股價 ($)</t>
        </is>
      </c>
      <c r="F13" s="129" t="n">
        <v>1044.020283018868</v>
      </c>
    </row>
    <row r="15">
      <c r="A15" s="152" t="inlineStr">
        <is>
          <t>倍數合理性對標</t>
        </is>
      </c>
      <c r="B15" s="153" t="n"/>
      <c r="C15" s="153" t="n"/>
      <c r="D15" s="153" t="n"/>
      <c r="E15" s="153" t="n"/>
      <c r="F15" s="153" t="n"/>
      <c r="G15" s="153" t="n"/>
    </row>
    <row r="16">
      <c r="A16" s="146" t="inlineStr">
        <is>
          <t>業務</t>
        </is>
      </c>
      <c r="B16" s="146" t="inlineStr">
        <is>
          <t>v2.0倍數</t>
        </is>
      </c>
      <c r="C16" s="146" t="inlineStr">
        <is>
          <t>對標公司</t>
        </is>
      </c>
      <c r="D16" s="146" t="inlineStr">
        <is>
          <t>對標倍數</t>
        </is>
      </c>
      <c r="E16" s="146" t="inlineStr">
        <is>
          <t>溢價/折讓</t>
        </is>
      </c>
      <c r="F16" s="146" t="inlineStr">
        <is>
          <t>理由</t>
        </is>
      </c>
    </row>
    <row r="17">
      <c r="A17" s="113" t="inlineStr">
        <is>
          <t>Launch</t>
        </is>
      </c>
      <c r="B17" s="140" t="n">
        <v>18</v>
      </c>
      <c r="C17" s="113" t="inlineStr">
        <is>
          <t>RKLB</t>
        </is>
      </c>
      <c r="D17" s="136" t="n">
        <v>9.4</v>
      </c>
      <c r="E17" s="144" t="inlineStr">
        <is>
          <t>+91%</t>
        </is>
      </c>
      <c r="F17" s="116" t="inlineStr">
        <is>
          <t>Starship 代際壟斷</t>
        </is>
      </c>
    </row>
    <row r="18">
      <c r="A18" s="113" t="inlineStr">
        <is>
          <t>Starlink</t>
        </is>
      </c>
      <c r="B18" s="140" t="n">
        <v>28</v>
      </c>
      <c r="C18" s="113" t="inlineStr">
        <is>
          <t>Netflix 14x</t>
        </is>
      </c>
      <c r="D18" s="136" t="n">
        <v>14</v>
      </c>
      <c r="E18" s="144" t="inlineStr">
        <is>
          <t>+100%</t>
        </is>
      </c>
      <c r="F18" s="116" t="inlineStr">
        <is>
          <t>平台+基建+寡頭三重屬性</t>
        </is>
      </c>
    </row>
    <row r="19">
      <c r="A19" s="113" t="inlineStr">
        <is>
          <t>AI/xAI</t>
        </is>
      </c>
      <c r="B19" s="140" t="n">
        <v>90</v>
      </c>
      <c r="C19" s="113" t="inlineStr">
        <is>
          <t>PLTR 28.6x</t>
        </is>
      </c>
      <c r="D19" s="136" t="n">
        <v>28.6</v>
      </c>
      <c r="E19" s="144" t="inlineStr">
        <is>
          <t>+215%</t>
        </is>
      </c>
      <c r="F19" s="116" t="inlineStr">
        <is>
          <t>xAI最新傳聞估值$500B+</t>
        </is>
      </c>
    </row>
    <row r="20">
      <c r="A20" s="113" t="inlineStr">
        <is>
          <t>Other</t>
        </is>
      </c>
      <c r="B20" s="140" t="n">
        <v>8</v>
      </c>
      <c r="C20" s="113" t="inlineStr">
        <is>
          <t>LHX 2.1x</t>
        </is>
      </c>
      <c r="D20" s="136" t="n">
        <v>2.1</v>
      </c>
      <c r="E20" s="144" t="inlineStr">
        <is>
          <t>+281%</t>
        </is>
      </c>
      <c r="F20" s="116" t="inlineStr">
        <is>
          <t>稀缺技術IP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843C0C"/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RowHeight="15"/>
  <cols>
    <col width="36" customWidth="1" min="1" max="1"/>
    <col width="22" customWidth="1" min="2" max="2"/>
    <col width="14" customWidth="1" min="3" max="3"/>
    <col width="18" customWidth="1" min="4" max="4"/>
  </cols>
  <sheetData>
    <row r="1">
      <c r="A1" s="154" t="inlineStr">
        <is>
          <t>SpaceX | 估值匯總 — v2.0 (對齊 IPO $1.75T-$2T 預期)</t>
        </is>
      </c>
    </row>
    <row r="2">
      <c r="A2" s="109" t="inlineStr">
        <is>
          <t>2026-05-25 | 機構股票研究部</t>
        </is>
      </c>
    </row>
    <row r="4">
      <c r="A4" s="141" t="inlineStr">
        <is>
          <t>加權平均目標股價計算 (v2.0)</t>
        </is>
      </c>
      <c r="B4" s="142" t="n"/>
      <c r="C4" s="142" t="n"/>
      <c r="D4" s="142" t="n"/>
    </row>
    <row r="5">
      <c r="A5" s="143" t="inlineStr">
        <is>
          <t>估值方法</t>
        </is>
      </c>
      <c r="B5" s="143" t="inlineStr">
        <is>
          <t>每股估值 ($)</t>
        </is>
      </c>
      <c r="C5" s="143" t="inlineStr">
        <is>
          <t>權重</t>
        </is>
      </c>
      <c r="D5" s="143" t="inlineStr">
        <is>
          <t>加權貢獻 ($)</t>
        </is>
      </c>
    </row>
    <row r="6">
      <c r="A6" s="113" t="inlineStr">
        <is>
          <t>DCF (退出乘數法)</t>
        </is>
      </c>
      <c r="B6" s="128" t="n">
        <v>342</v>
      </c>
      <c r="C6" s="121" t="n">
        <v>0.15</v>
      </c>
      <c r="D6" s="135" t="n">
        <v>51.3</v>
      </c>
    </row>
    <row r="7">
      <c r="A7" s="113" t="inlineStr">
        <is>
          <t>可比公司倍數 (38x 2028E NTM Rev)</t>
        </is>
      </c>
      <c r="B7" s="128" t="n">
        <v>1062</v>
      </c>
      <c r="C7" s="121" t="n">
        <v>0.4</v>
      </c>
      <c r="D7" s="135" t="n">
        <v>424.8</v>
      </c>
    </row>
    <row r="8">
      <c r="A8" s="113" t="inlineStr">
        <is>
          <t>分部加總法 (SOTP)</t>
        </is>
      </c>
      <c r="B8" s="128" t="n">
        <v>1044</v>
      </c>
      <c r="C8" s="121" t="n">
        <v>0.45</v>
      </c>
      <c r="D8" s="135" t="n">
        <v>469.8</v>
      </c>
    </row>
    <row r="9">
      <c r="A9" s="117" t="inlineStr">
        <is>
          <t>加權平均</t>
        </is>
      </c>
      <c r="C9" s="115" t="n">
        <v>1</v>
      </c>
      <c r="D9" s="155" t="n">
        <v>945.9000000000001</v>
      </c>
    </row>
    <row r="10">
      <c r="A10" s="117" t="inlineStr">
        <is>
          <t>四捨五入至 $25 倍數 (目標股價)</t>
        </is>
      </c>
      <c r="D10" s="129" t="n">
        <v>1000</v>
      </c>
    </row>
    <row r="12">
      <c r="A12" s="141" t="inlineStr">
        <is>
          <t>情境分析</t>
        </is>
      </c>
      <c r="B12" s="142" t="n"/>
      <c r="C12" s="142" t="n"/>
      <c r="D12" s="142" t="n"/>
      <c r="E12" s="142" t="n"/>
      <c r="F12" s="142" t="n"/>
    </row>
    <row r="13">
      <c r="A13" s="143" t="inlineStr">
        <is>
          <t>情境</t>
        </is>
      </c>
      <c r="B13" s="143" t="inlineStr">
        <is>
          <t>概率</t>
        </is>
      </c>
      <c r="C13" s="143" t="inlineStr">
        <is>
          <t>收入CAGR</t>
        </is>
      </c>
      <c r="D13" s="143" t="inlineStr">
        <is>
          <t>2030E利潤率</t>
        </is>
      </c>
      <c r="E13" s="143" t="inlineStr">
        <is>
          <t>每股估值</t>
        </is>
      </c>
      <c r="F13" s="143" t="inlineStr">
        <is>
          <t>隱含市值 ($B)</t>
        </is>
      </c>
    </row>
    <row r="14">
      <c r="A14" s="113" t="inlineStr">
        <is>
          <t>熊市</t>
        </is>
      </c>
      <c r="B14" s="121" t="n">
        <v>0.2</v>
      </c>
      <c r="C14" s="121" t="n">
        <v>0.25</v>
      </c>
      <c r="D14" s="121" t="n">
        <v>0.32</v>
      </c>
      <c r="E14" s="128" t="n">
        <v>650</v>
      </c>
      <c r="F14" s="128" t="n">
        <v>1378</v>
      </c>
    </row>
    <row r="15">
      <c r="A15" s="117" t="inlineStr">
        <is>
          <t>基準</t>
        </is>
      </c>
      <c r="B15" s="115" t="n">
        <v>0.6</v>
      </c>
      <c r="C15" s="121" t="n">
        <v>0.36</v>
      </c>
      <c r="D15" s="121" t="n">
        <v>0.38</v>
      </c>
      <c r="E15" s="129" t="n">
        <v>1000</v>
      </c>
      <c r="F15" s="156" t="n">
        <v>2120</v>
      </c>
    </row>
    <row r="16">
      <c r="A16" s="113" t="inlineStr">
        <is>
          <t>牛市</t>
        </is>
      </c>
      <c r="B16" s="121" t="n">
        <v>0.2</v>
      </c>
      <c r="C16" s="121" t="n">
        <v>0.45</v>
      </c>
      <c r="D16" s="121" t="n">
        <v>0.46</v>
      </c>
      <c r="E16" s="128" t="n">
        <v>1400</v>
      </c>
      <c r="F16" s="128" t="n">
        <v>2968</v>
      </c>
    </row>
    <row r="17">
      <c r="A17" s="117" t="inlineStr">
        <is>
          <t>概率加權期望值</t>
        </is>
      </c>
      <c r="E17" s="155" t="n">
        <v>1010</v>
      </c>
    </row>
    <row r="19">
      <c r="A19" s="157" t="inlineStr">
        <is>
          <t>v1.0 → v2.0 主要修正</t>
        </is>
      </c>
      <c r="B19" s="158" t="n"/>
      <c r="C19" s="158" t="n"/>
      <c r="D19" s="158" t="n"/>
    </row>
    <row r="20">
      <c r="A20" s="159" t="inlineStr">
        <is>
          <t>維度</t>
        </is>
      </c>
      <c r="B20" s="159" t="inlineStr">
        <is>
          <t>v1.0</t>
        </is>
      </c>
      <c r="C20" s="159" t="inlineStr">
        <is>
          <t>v2.0</t>
        </is>
      </c>
      <c r="D20" s="159" t="inlineStr">
        <is>
          <t>變動</t>
        </is>
      </c>
    </row>
    <row r="21">
      <c r="A21" s="113" t="inlineStr">
        <is>
          <t>WACC</t>
        </is>
      </c>
      <c r="B21" s="137" t="inlineStr">
        <is>
          <t>13.5%</t>
        </is>
      </c>
      <c r="C21" s="113" t="inlineStr">
        <is>
          <t>9.0%</t>
        </is>
      </c>
      <c r="D21" s="116" t="inlineStr">
        <is>
          <t>-450bps</t>
        </is>
      </c>
    </row>
    <row r="22">
      <c r="A22" s="113" t="inlineStr">
        <is>
          <t>退出 EV/EBITDA</t>
        </is>
      </c>
      <c r="B22" s="137" t="inlineStr">
        <is>
          <t>18x</t>
        </is>
      </c>
      <c r="C22" s="113" t="inlineStr">
        <is>
          <t>30x</t>
        </is>
      </c>
      <c r="D22" s="116" t="inlineStr">
        <is>
          <t>+67%</t>
        </is>
      </c>
    </row>
    <row r="23">
      <c r="A23" s="113" t="inlineStr">
        <is>
          <t>Comps EV/NTM Rev</t>
        </is>
      </c>
      <c r="B23" s="137" t="inlineStr">
        <is>
          <t>9x</t>
        </is>
      </c>
      <c r="C23" s="113" t="inlineStr">
        <is>
          <t>38x</t>
        </is>
      </c>
      <c r="D23" s="116" t="inlineStr">
        <is>
          <t>+322%</t>
        </is>
      </c>
    </row>
    <row r="24">
      <c r="A24" s="113" t="inlineStr">
        <is>
          <t>Launch 倍數</t>
        </is>
      </c>
      <c r="B24" s="137" t="inlineStr">
        <is>
          <t>3x</t>
        </is>
      </c>
      <c r="C24" s="113" t="inlineStr">
        <is>
          <t>18x</t>
        </is>
      </c>
      <c r="D24" s="116" t="inlineStr">
        <is>
          <t>+500%</t>
        </is>
      </c>
    </row>
    <row r="25">
      <c r="A25" s="113" t="inlineStr">
        <is>
          <t>Starlink 倍數</t>
        </is>
      </c>
      <c r="B25" s="137" t="inlineStr">
        <is>
          <t>8x</t>
        </is>
      </c>
      <c r="C25" s="113" t="inlineStr">
        <is>
          <t>28x</t>
        </is>
      </c>
      <c r="D25" s="116" t="inlineStr">
        <is>
          <t>+250%</t>
        </is>
      </c>
    </row>
    <row r="26">
      <c r="A26" s="113" t="inlineStr">
        <is>
          <t>AI 倍數</t>
        </is>
      </c>
      <c r="B26" s="137" t="inlineStr">
        <is>
          <t>25x</t>
        </is>
      </c>
      <c r="C26" s="113" t="inlineStr">
        <is>
          <t>90x</t>
        </is>
      </c>
      <c r="D26" s="116" t="inlineStr">
        <is>
          <t>+260%</t>
        </is>
      </c>
    </row>
    <row r="27">
      <c r="A27" s="113" t="inlineStr">
        <is>
          <t>DCF 權重</t>
        </is>
      </c>
      <c r="B27" s="137" t="inlineStr">
        <is>
          <t>40%</t>
        </is>
      </c>
      <c r="C27" s="113" t="inlineStr">
        <is>
          <t>15%</t>
        </is>
      </c>
      <c r="D27" s="116" t="inlineStr">
        <is>
          <t>-25pp</t>
        </is>
      </c>
    </row>
    <row r="28">
      <c r="A28" s="113" t="inlineStr">
        <is>
          <t>Comps 權重</t>
        </is>
      </c>
      <c r="B28" s="137" t="inlineStr">
        <is>
          <t>35%</t>
        </is>
      </c>
      <c r="C28" s="113" t="inlineStr">
        <is>
          <t>40%</t>
        </is>
      </c>
      <c r="D28" s="116" t="inlineStr">
        <is>
          <t>+5pp</t>
        </is>
      </c>
    </row>
    <row r="29">
      <c r="A29" s="113" t="inlineStr">
        <is>
          <t>SOTP 權重</t>
        </is>
      </c>
      <c r="B29" s="137" t="inlineStr">
        <is>
          <t>25%</t>
        </is>
      </c>
      <c r="C29" s="113" t="inlineStr">
        <is>
          <t>45%</t>
        </is>
      </c>
      <c r="D29" s="116" t="inlineStr">
        <is>
          <t>+20pp</t>
        </is>
      </c>
    </row>
    <row r="30">
      <c r="A30" s="117" t="inlineStr">
        <is>
          <t>目標股價</t>
        </is>
      </c>
      <c r="B30" s="137" t="inlineStr">
        <is>
          <t>$205</t>
        </is>
      </c>
      <c r="C30" s="144" t="inlineStr">
        <is>
          <t>$1,000</t>
        </is>
      </c>
      <c r="D30" s="127" t="inlineStr">
        <is>
          <t>+388%</t>
        </is>
      </c>
    </row>
    <row r="31">
      <c r="A31" s="117" t="inlineStr">
        <is>
          <t>目標市值</t>
        </is>
      </c>
      <c r="B31" s="137" t="inlineStr">
        <is>
          <t>$435B</t>
        </is>
      </c>
      <c r="C31" s="144" t="inlineStr">
        <is>
          <t>$2,120B</t>
        </is>
      </c>
      <c r="D31" s="127" t="inlineStr">
        <is>
          <t>+388%</t>
        </is>
      </c>
    </row>
    <row r="32">
      <c r="A32" s="113" t="inlineStr">
        <is>
          <t>IPO 假設價</t>
        </is>
      </c>
      <c r="B32" s="137" t="inlineStr">
        <is>
          <t>$152</t>
        </is>
      </c>
      <c r="C32" s="113" t="inlineStr">
        <is>
          <t>$825</t>
        </is>
      </c>
      <c r="D32" s="116" t="inlineStr">
        <is>
          <t>+443%</t>
        </is>
      </c>
    </row>
    <row r="34">
      <c r="A34" s="141" t="inlineStr">
        <is>
          <t>最終投資建議</t>
        </is>
      </c>
      <c r="B34" s="142" t="n"/>
      <c r="C34" s="142" t="n"/>
      <c r="D34" s="142" t="n"/>
    </row>
    <row r="35">
      <c r="A35" s="117" t="inlineStr">
        <is>
          <t>評級</t>
        </is>
      </c>
      <c r="B35" s="144" t="inlineStr">
        <is>
          <t>買入 (BUY / OUTPERFORM)</t>
        </is>
      </c>
    </row>
    <row r="36">
      <c r="A36" s="117" t="inlineStr">
        <is>
          <t>12個月目標股價</t>
        </is>
      </c>
      <c r="B36" s="144" t="inlineStr">
        <is>
          <t>$1,000</t>
        </is>
      </c>
    </row>
    <row r="37">
      <c r="A37" s="117" t="inlineStr">
        <is>
          <t>假設 IPO 價格</t>
        </is>
      </c>
      <c r="B37" s="144" t="inlineStr">
        <is>
          <t>$825 (對應市值 $1.75T)</t>
        </is>
      </c>
    </row>
    <row r="38">
      <c r="A38" s="117" t="inlineStr">
        <is>
          <t>潛在回報</t>
        </is>
      </c>
      <c r="B38" s="144" t="inlineStr">
        <is>
          <t>+21.2%</t>
        </is>
      </c>
    </row>
    <row r="39">
      <c r="A39" s="117" t="inlineStr">
        <is>
          <t>概率加權期望值</t>
        </is>
      </c>
      <c r="B39" s="144" t="inlineStr">
        <is>
          <t>$1,010 (+22.4%)</t>
        </is>
      </c>
    </row>
    <row r="40">
      <c r="A40" s="117" t="inlineStr">
        <is>
          <t>目標市值</t>
        </is>
      </c>
      <c r="B40" s="144" t="inlineStr">
        <is>
          <t>$2.12 萬億美元</t>
        </is>
      </c>
    </row>
    <row r="41">
      <c r="A41" s="117" t="inlineStr">
        <is>
          <t>攤薄股數 (IPO後)</t>
        </is>
      </c>
      <c r="B41" s="144" t="inlineStr">
        <is>
          <t>2,120 百萬股</t>
        </is>
      </c>
    </row>
    <row r="42">
      <c r="A42" s="117" t="inlineStr">
        <is>
          <t>隱含 2028E EV/Rev</t>
        </is>
      </c>
      <c r="B42" s="144" t="inlineStr">
        <is>
          <t>37.3x</t>
        </is>
      </c>
    </row>
    <row r="43">
      <c r="A43" s="117" t="inlineStr">
        <is>
          <t>隱含 2030E EV/EBITDA</t>
        </is>
      </c>
      <c r="B43" s="144" t="inlineStr">
        <is>
          <t>64.5x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2026-05-24T10:27:29Z</dcterms:created>
  <dcterms:modified xsi:type="dcterms:W3CDTF">2026-05-25T03:52:27Z</dcterms:modified>
</cp:coreProperties>
</file>